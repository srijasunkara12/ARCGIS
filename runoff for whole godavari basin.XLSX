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IITPatna study material\sem7\BTP\Qgis\"/>
    </mc:Choice>
  </mc:AlternateContent>
  <xr:revisionPtr revIDLastSave="0" documentId="13_ncr:1_{DECCA9D8-2777-4FD7-BE07-A4F0A8C199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odavari basin" sheetId="1" r:id="rId1"/>
    <sheet name="comparision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2" l="1"/>
  <c r="D16" i="2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D49" i="1" a="1"/>
  <c r="D49" i="1" s="1"/>
  <c r="G2" i="1" a="1"/>
  <c r="G2" i="1" s="1"/>
  <c r="N39" i="1"/>
  <c r="P23" i="1" s="1" a="1"/>
  <c r="P23" i="1" s="1"/>
  <c r="P39" i="1" s="1"/>
  <c r="W12" i="1" a="1"/>
  <c r="W12" i="1" s="1"/>
  <c r="E36" i="1"/>
  <c r="N20" i="1"/>
  <c r="P2" i="1" s="1" a="1"/>
  <c r="P2" i="1" s="1"/>
  <c r="P20" i="1" s="1"/>
  <c r="E16" i="2" l="1"/>
  <c r="U5" i="1"/>
  <c r="E2" i="2" a="1"/>
  <c r="E2" i="2" s="1"/>
  <c r="F2" i="2" s="1"/>
  <c r="U6" i="1"/>
  <c r="U34" i="1"/>
  <c r="U35" i="1"/>
  <c r="U7" i="1" l="1"/>
  <c r="X12" i="1" s="1"/>
  <c r="AA12" i="1" s="1" a="1"/>
  <c r="AA12" i="1" s="1"/>
  <c r="AB12" i="1" s="1" a="1"/>
  <c r="AB12" i="1" s="1"/>
  <c r="Y12" i="1" a="1"/>
  <c r="Y12" i="1" s="1"/>
  <c r="Z12" i="1" s="1" a="1"/>
  <c r="Z12" i="1" s="1"/>
  <c r="F14" i="2"/>
  <c r="F12" i="2"/>
  <c r="F4" i="2"/>
  <c r="F10" i="2"/>
  <c r="F8" i="2"/>
  <c r="F6" i="2"/>
  <c r="U36" i="1"/>
  <c r="AC12" i="1" l="1" a="1"/>
  <c r="AC12" i="1" s="1"/>
  <c r="AD12" i="1" s="1" a="1"/>
  <c r="AD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<sst xmlns="http://schemas.openxmlformats.org/spreadsheetml/2006/main" count="300" uniqueCount="70">
  <si>
    <t>FID</t>
  </si>
  <si>
    <t>gridcode</t>
  </si>
  <si>
    <t>HSG</t>
  </si>
  <si>
    <t>area_m2</t>
  </si>
  <si>
    <t>CN</t>
  </si>
  <si>
    <t>D</t>
  </si>
  <si>
    <t>C</t>
  </si>
  <si>
    <t>Landuse</t>
  </si>
  <si>
    <t>Unspecificed</t>
  </si>
  <si>
    <t>Water Bodies</t>
  </si>
  <si>
    <t>Forest</t>
  </si>
  <si>
    <t>Flooded Vegetation</t>
  </si>
  <si>
    <t xml:space="preserve">Agricultural </t>
  </si>
  <si>
    <t>Built up</t>
  </si>
  <si>
    <t>Bareground</t>
  </si>
  <si>
    <t>Rangeground</t>
  </si>
  <si>
    <t>(area*CN)/total area</t>
  </si>
  <si>
    <t>Total</t>
  </si>
  <si>
    <t>S</t>
  </si>
  <si>
    <t>0.2S</t>
  </si>
  <si>
    <t>0.8S</t>
  </si>
  <si>
    <t>Calculation of curve number using this data</t>
  </si>
  <si>
    <t>year</t>
  </si>
  <si>
    <t>annulal rainfall</t>
  </si>
  <si>
    <t>averga daily rainfall</t>
  </si>
  <si>
    <t>(P-0.2S)^2</t>
  </si>
  <si>
    <t>P+0.8S</t>
  </si>
  <si>
    <t>q</t>
  </si>
  <si>
    <t>q= average daily runoff per day (mm)</t>
  </si>
  <si>
    <t>Q= runoff(Mm^3)</t>
  </si>
  <si>
    <t>Area_km2</t>
  </si>
  <si>
    <t xml:space="preserve"> </t>
  </si>
  <si>
    <t>lclu_hsg</t>
  </si>
  <si>
    <t>1_C</t>
  </si>
  <si>
    <t>1_D</t>
  </si>
  <si>
    <t>2_C</t>
  </si>
  <si>
    <t>2_D</t>
  </si>
  <si>
    <t>3_C</t>
  </si>
  <si>
    <t>3_D</t>
  </si>
  <si>
    <t>4_C</t>
  </si>
  <si>
    <t>4_D</t>
  </si>
  <si>
    <t>5_C</t>
  </si>
  <si>
    <t>5_D</t>
  </si>
  <si>
    <t>6_D</t>
  </si>
  <si>
    <t>7_C</t>
  </si>
  <si>
    <t>7_D</t>
  </si>
  <si>
    <t>9_C</t>
  </si>
  <si>
    <t>9_D</t>
  </si>
  <si>
    <t>area_km2</t>
  </si>
  <si>
    <t>water bodies</t>
  </si>
  <si>
    <t>forest</t>
  </si>
  <si>
    <t>flooded vegetation</t>
  </si>
  <si>
    <t>Agricultral</t>
  </si>
  <si>
    <t>bulit up</t>
  </si>
  <si>
    <t>bare ground</t>
  </si>
  <si>
    <t>rangeground</t>
  </si>
  <si>
    <t>LULC</t>
  </si>
  <si>
    <t>AREA_2017_m2</t>
  </si>
  <si>
    <t>AREA_2024_m2</t>
  </si>
  <si>
    <t xml:space="preserve"> Change in area_km2</t>
  </si>
  <si>
    <t>overall change_km2</t>
  </si>
  <si>
    <t>merge</t>
  </si>
  <si>
    <t>area</t>
  </si>
  <si>
    <t>0_D</t>
  </si>
  <si>
    <t>2_</t>
  </si>
  <si>
    <t>4_</t>
  </si>
  <si>
    <t>6_C</t>
  </si>
  <si>
    <t>8_</t>
  </si>
  <si>
    <t>8_C</t>
  </si>
  <si>
    <t>8_D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</si>
</sst>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3"/>
  <sheetViews>
    <sheetView tabSelected="1" topLeftCell="AA13" zoomScale="95" zoomScaleNormal="95" workbookViewId="0">
      <selection activeCell="AG38" sqref="AG38"/>
    </sheetView>
  </sheetViews>
  <sheetFormatPr defaultRowHeight="14.4" x14ac:dyDescent="0.3"/>
  <cols>
    <col min="2" max="2" width="16.33203125" customWidth="1"/>
    <col min="5" max="5" width="22.109375" customWidth="1"/>
    <col min="11" max="11" width="17" bestFit="1" customWidth="1"/>
    <col min="14" max="14" width="12" bestFit="1" customWidth="1"/>
    <col min="16" max="16" width="18.21875" bestFit="1" customWidth="1"/>
    <col min="17" max="17" width="12.6640625" bestFit="1" customWidth="1"/>
    <col min="18" max="18" width="33.6640625" bestFit="1" customWidth="1"/>
    <col min="19" max="20" width="33.6640625" customWidth="1"/>
    <col min="21" max="21" width="21.6640625" customWidth="1"/>
    <col min="22" max="22" width="13.109375" bestFit="1" customWidth="1"/>
    <col min="23" max="23" width="16.88671875" bestFit="1" customWidth="1"/>
    <col min="30" max="30" width="15.6640625" bestFit="1" customWidth="1"/>
  </cols>
  <sheetData>
    <row r="1" spans="1:33" x14ac:dyDescent="0.3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30</v>
      </c>
      <c r="H1">
        <v>2024</v>
      </c>
      <c r="J1" t="s">
        <v>0</v>
      </c>
      <c r="K1" t="s">
        <v>7</v>
      </c>
      <c r="L1" t="s">
        <v>1</v>
      </c>
      <c r="M1" t="s">
        <v>2</v>
      </c>
      <c r="N1" t="s">
        <v>3</v>
      </c>
      <c r="O1" t="s">
        <v>4</v>
      </c>
      <c r="P1" t="s">
        <v>16</v>
      </c>
      <c r="AE1" t="s">
        <v>0</v>
      </c>
      <c r="AF1" t="s">
        <v>61</v>
      </c>
      <c r="AG1" t="s">
        <v>62</v>
      </c>
    </row>
    <row r="2" spans="1:33" x14ac:dyDescent="0.3">
      <c r="A2">
        <v>3</v>
      </c>
      <c r="B2" t="s">
        <v>9</v>
      </c>
      <c r="C2">
        <v>1</v>
      </c>
      <c r="D2" t="s">
        <v>6</v>
      </c>
      <c r="E2">
        <v>300</v>
      </c>
      <c r="F2">
        <v>100</v>
      </c>
      <c r="G2" cm="1">
        <f t="array" ref="G2:G35">E2:E35/1000000</f>
        <v>2.9999999999999997E-4</v>
      </c>
      <c r="J2">
        <v>5</v>
      </c>
      <c r="K2" t="s">
        <v>9</v>
      </c>
      <c r="L2">
        <v>1</v>
      </c>
      <c r="M2" t="s">
        <v>5</v>
      </c>
      <c r="N2">
        <v>4386836777.46</v>
      </c>
      <c r="O2">
        <v>100</v>
      </c>
      <c r="P2" cm="1">
        <f t="array" ref="P2:P19">(N2:N19*O2:O19)/N20</f>
        <v>1.9166504259669082</v>
      </c>
      <c r="AE2">
        <v>0</v>
      </c>
      <c r="AF2" t="s">
        <v>63</v>
      </c>
      <c r="AG2">
        <v>6942142668.8699999</v>
      </c>
    </row>
    <row r="3" spans="1:33" x14ac:dyDescent="0.3">
      <c r="A3">
        <v>4</v>
      </c>
      <c r="B3" t="s">
        <v>9</v>
      </c>
      <c r="C3">
        <v>1</v>
      </c>
      <c r="D3" t="s">
        <v>6</v>
      </c>
      <c r="E3">
        <v>2276788992.73</v>
      </c>
      <c r="F3">
        <v>100</v>
      </c>
      <c r="G3">
        <v>2276.7889927300002</v>
      </c>
      <c r="J3">
        <v>10</v>
      </c>
      <c r="K3" t="s">
        <v>10</v>
      </c>
      <c r="L3">
        <v>2</v>
      </c>
      <c r="M3" t="s">
        <v>5</v>
      </c>
      <c r="N3">
        <v>17001096583.5</v>
      </c>
      <c r="O3">
        <v>77</v>
      </c>
      <c r="P3">
        <v>5.7195135605668295</v>
      </c>
      <c r="AE3">
        <v>1</v>
      </c>
      <c r="AF3" t="s">
        <v>33</v>
      </c>
      <c r="AG3">
        <v>1963348270.28</v>
      </c>
    </row>
    <row r="4" spans="1:33" x14ac:dyDescent="0.3">
      <c r="A4">
        <v>5</v>
      </c>
      <c r="B4" t="s">
        <v>9</v>
      </c>
      <c r="C4">
        <v>1</v>
      </c>
      <c r="D4" t="s">
        <v>5</v>
      </c>
      <c r="E4">
        <v>4386836777.46</v>
      </c>
      <c r="F4">
        <v>100</v>
      </c>
      <c r="G4">
        <v>4386.8367774600001</v>
      </c>
      <c r="J4">
        <v>11</v>
      </c>
      <c r="K4" t="s">
        <v>10</v>
      </c>
      <c r="L4">
        <v>2</v>
      </c>
      <c r="M4" t="s">
        <v>5</v>
      </c>
      <c r="N4">
        <v>7754984881.6700001</v>
      </c>
      <c r="O4">
        <v>77</v>
      </c>
      <c r="P4">
        <v>2.6089341340340204</v>
      </c>
      <c r="Q4" t="s">
        <v>49</v>
      </c>
      <c r="R4" t="s">
        <v>6</v>
      </c>
      <c r="S4">
        <f>SUM(N23:N24)</f>
        <v>2276789292.73</v>
      </c>
      <c r="U4" t="s">
        <v>21</v>
      </c>
      <c r="AE4">
        <v>2</v>
      </c>
      <c r="AF4" t="s">
        <v>34</v>
      </c>
      <c r="AG4">
        <v>4239294474.0999999</v>
      </c>
    </row>
    <row r="5" spans="1:33" x14ac:dyDescent="0.3">
      <c r="A5">
        <v>6</v>
      </c>
      <c r="B5" t="s">
        <v>10</v>
      </c>
      <c r="C5">
        <v>2</v>
      </c>
      <c r="D5" t="s">
        <v>6</v>
      </c>
      <c r="E5">
        <v>7348.5140325499897</v>
      </c>
      <c r="F5">
        <v>70</v>
      </c>
      <c r="G5">
        <v>7.34851403254999E-3</v>
      </c>
      <c r="J5">
        <v>13</v>
      </c>
      <c r="K5" t="s">
        <v>11</v>
      </c>
      <c r="L5">
        <v>4</v>
      </c>
      <c r="M5" t="s">
        <v>5</v>
      </c>
      <c r="N5">
        <v>83153876.101799905</v>
      </c>
      <c r="O5">
        <v>100</v>
      </c>
      <c r="P5">
        <v>3.6330713937251687E-2</v>
      </c>
      <c r="Q5" t="s">
        <v>49</v>
      </c>
      <c r="R5" t="s">
        <v>5</v>
      </c>
      <c r="S5">
        <f>SUM(N2)</f>
        <v>4386836777.46</v>
      </c>
      <c r="U5">
        <f>(N39*P39)/E36</f>
        <v>20.738153689018382</v>
      </c>
      <c r="AE5">
        <v>3</v>
      </c>
      <c r="AF5" t="s">
        <v>64</v>
      </c>
      <c r="AG5">
        <v>1767.14128207</v>
      </c>
    </row>
    <row r="6" spans="1:33" x14ac:dyDescent="0.3">
      <c r="A6">
        <v>7</v>
      </c>
      <c r="B6" t="s">
        <v>10</v>
      </c>
      <c r="C6">
        <v>2</v>
      </c>
      <c r="D6" t="s">
        <v>6</v>
      </c>
      <c r="E6">
        <v>11238591761.5</v>
      </c>
      <c r="F6">
        <v>70</v>
      </c>
      <c r="G6">
        <v>11238.5917615</v>
      </c>
      <c r="J6">
        <v>14</v>
      </c>
      <c r="K6" t="s">
        <v>12</v>
      </c>
      <c r="L6">
        <v>5</v>
      </c>
      <c r="M6" t="s">
        <v>5</v>
      </c>
      <c r="N6">
        <v>3983.9126586699899</v>
      </c>
      <c r="O6">
        <v>86</v>
      </c>
      <c r="P6">
        <v>1.4969238023169188E-6</v>
      </c>
      <c r="Q6" t="s">
        <v>50</v>
      </c>
      <c r="R6" t="s">
        <v>6</v>
      </c>
      <c r="S6">
        <f>SUM(N25:N28)</f>
        <v>33036981767.86393</v>
      </c>
      <c r="U6">
        <f>(N20*P20)/E36</f>
        <v>61.464469164326651</v>
      </c>
      <c r="AE6">
        <v>4</v>
      </c>
      <c r="AF6" t="s">
        <v>35</v>
      </c>
      <c r="AG6">
        <v>13167485513.299999</v>
      </c>
    </row>
    <row r="7" spans="1:33" x14ac:dyDescent="0.3">
      <c r="A7">
        <v>8</v>
      </c>
      <c r="B7" t="s">
        <v>10</v>
      </c>
      <c r="C7">
        <v>2</v>
      </c>
      <c r="D7" t="s">
        <v>6</v>
      </c>
      <c r="E7">
        <v>20187031771.599899</v>
      </c>
      <c r="F7">
        <v>70</v>
      </c>
      <c r="G7">
        <v>20187.031771599901</v>
      </c>
      <c r="J7">
        <v>17</v>
      </c>
      <c r="K7" t="s">
        <v>12</v>
      </c>
      <c r="L7">
        <v>5</v>
      </c>
      <c r="M7" t="s">
        <v>5</v>
      </c>
      <c r="N7">
        <v>36990361798.800003</v>
      </c>
      <c r="O7">
        <v>86</v>
      </c>
      <c r="P7">
        <v>13.898837092333194</v>
      </c>
      <c r="Q7" t="s">
        <v>50</v>
      </c>
      <c r="R7" t="s">
        <v>5</v>
      </c>
      <c r="S7">
        <f>SUM(N3:N4)</f>
        <v>24756081465.169998</v>
      </c>
      <c r="U7">
        <f>SUM(U5:U6)</f>
        <v>82.202622853345034</v>
      </c>
      <c r="AE7">
        <v>5</v>
      </c>
      <c r="AF7" t="s">
        <v>35</v>
      </c>
      <c r="AG7">
        <v>22993011463.700001</v>
      </c>
    </row>
    <row r="8" spans="1:33" x14ac:dyDescent="0.3">
      <c r="A8">
        <v>9</v>
      </c>
      <c r="B8" t="s">
        <v>10</v>
      </c>
      <c r="C8">
        <v>2</v>
      </c>
      <c r="D8" t="s">
        <v>6</v>
      </c>
      <c r="E8">
        <v>1611350886.25</v>
      </c>
      <c r="F8">
        <v>70</v>
      </c>
      <c r="G8">
        <v>1611.35088625</v>
      </c>
      <c r="J8">
        <v>18</v>
      </c>
      <c r="K8" t="s">
        <v>12</v>
      </c>
      <c r="L8">
        <v>5</v>
      </c>
      <c r="M8" t="s">
        <v>5</v>
      </c>
      <c r="N8">
        <v>44774277418.300003</v>
      </c>
      <c r="O8">
        <v>86</v>
      </c>
      <c r="P8">
        <v>16.823582076563326</v>
      </c>
      <c r="Q8" t="s">
        <v>51</v>
      </c>
      <c r="R8" t="s">
        <v>6</v>
      </c>
      <c r="S8">
        <f>SUM(N29)</f>
        <v>37584468.901299901</v>
      </c>
      <c r="U8">
        <v>82</v>
      </c>
      <c r="AE8">
        <v>6</v>
      </c>
      <c r="AF8" t="s">
        <v>36</v>
      </c>
      <c r="AG8">
        <v>26133325006.599998</v>
      </c>
    </row>
    <row r="9" spans="1:33" x14ac:dyDescent="0.3">
      <c r="A9">
        <v>10</v>
      </c>
      <c r="B9" t="s">
        <v>10</v>
      </c>
      <c r="C9">
        <v>2</v>
      </c>
      <c r="D9" t="s">
        <v>5</v>
      </c>
      <c r="E9">
        <v>17001096583.5</v>
      </c>
      <c r="F9">
        <v>77</v>
      </c>
      <c r="G9">
        <v>17001.096583499999</v>
      </c>
      <c r="J9">
        <v>19</v>
      </c>
      <c r="K9" t="s">
        <v>12</v>
      </c>
      <c r="L9">
        <v>5</v>
      </c>
      <c r="M9" t="s">
        <v>5</v>
      </c>
      <c r="N9">
        <v>17744836105.200001</v>
      </c>
      <c r="O9">
        <v>86</v>
      </c>
      <c r="P9">
        <v>6.6674823998160511</v>
      </c>
      <c r="Q9" t="s">
        <v>51</v>
      </c>
      <c r="R9" t="s">
        <v>5</v>
      </c>
      <c r="S9">
        <f>SUM(N5)</f>
        <v>83153876.101799905</v>
      </c>
      <c r="AE9">
        <v>7</v>
      </c>
      <c r="AF9" t="s">
        <v>36</v>
      </c>
      <c r="AG9">
        <v>8050158525.7799997</v>
      </c>
    </row>
    <row r="10" spans="1:33" x14ac:dyDescent="0.3">
      <c r="A10">
        <v>11</v>
      </c>
      <c r="B10" t="s">
        <v>10</v>
      </c>
      <c r="C10">
        <v>2</v>
      </c>
      <c r="D10" t="s">
        <v>5</v>
      </c>
      <c r="E10">
        <v>7754984881.6700001</v>
      </c>
      <c r="F10">
        <v>77</v>
      </c>
      <c r="G10">
        <v>7754.9848816700005</v>
      </c>
      <c r="I10" t="s">
        <v>31</v>
      </c>
      <c r="J10">
        <v>20</v>
      </c>
      <c r="K10" t="s">
        <v>12</v>
      </c>
      <c r="L10">
        <v>5</v>
      </c>
      <c r="M10" t="s">
        <v>5</v>
      </c>
      <c r="N10">
        <v>33148951454.700001</v>
      </c>
      <c r="O10">
        <v>86</v>
      </c>
      <c r="P10">
        <v>12.455457412300392</v>
      </c>
      <c r="Q10" t="s">
        <v>52</v>
      </c>
      <c r="R10" t="s">
        <v>6</v>
      </c>
      <c r="S10">
        <f>SUM(N30:N31)</f>
        <v>18275969394.849998</v>
      </c>
      <c r="AE10">
        <v>8</v>
      </c>
      <c r="AF10" t="s">
        <v>37</v>
      </c>
      <c r="AG10">
        <v>60674663.857000001</v>
      </c>
    </row>
    <row r="11" spans="1:33" x14ac:dyDescent="0.3">
      <c r="A11">
        <v>12</v>
      </c>
      <c r="B11" t="s">
        <v>11</v>
      </c>
      <c r="C11">
        <v>4</v>
      </c>
      <c r="D11" t="s">
        <v>6</v>
      </c>
      <c r="E11">
        <v>37584468.901299901</v>
      </c>
      <c r="F11">
        <v>100</v>
      </c>
      <c r="G11">
        <v>37.5844689012999</v>
      </c>
      <c r="J11">
        <v>21</v>
      </c>
      <c r="K11" t="s">
        <v>12</v>
      </c>
      <c r="L11">
        <v>5</v>
      </c>
      <c r="M11" t="s">
        <v>5</v>
      </c>
      <c r="N11">
        <v>15333772326.3999</v>
      </c>
      <c r="O11">
        <v>86</v>
      </c>
      <c r="P11">
        <v>5.7615441756093606</v>
      </c>
      <c r="Q11" t="s">
        <v>52</v>
      </c>
      <c r="R11" t="s">
        <v>5</v>
      </c>
      <c r="S11">
        <f>SUM(N6:N12)</f>
        <v>153906434134.55255</v>
      </c>
      <c r="U11" t="s">
        <v>22</v>
      </c>
      <c r="V11" t="s">
        <v>23</v>
      </c>
      <c r="W11" t="s">
        <v>24</v>
      </c>
      <c r="X11" t="s">
        <v>18</v>
      </c>
      <c r="Y11" t="s">
        <v>19</v>
      </c>
      <c r="Z11" t="s">
        <v>25</v>
      </c>
      <c r="AA11" t="s">
        <v>20</v>
      </c>
      <c r="AB11" t="s">
        <v>26</v>
      </c>
      <c r="AC11" t="s">
        <v>27</v>
      </c>
      <c r="AD11" t="s">
        <v>29</v>
      </c>
      <c r="AE11">
        <v>9</v>
      </c>
      <c r="AF11" t="s">
        <v>38</v>
      </c>
      <c r="AG11">
        <v>111067031.382</v>
      </c>
    </row>
    <row r="12" spans="1:33" x14ac:dyDescent="0.3">
      <c r="A12">
        <v>13</v>
      </c>
      <c r="B12" t="s">
        <v>11</v>
      </c>
      <c r="C12">
        <v>4</v>
      </c>
      <c r="D12" t="s">
        <v>5</v>
      </c>
      <c r="E12">
        <v>83153876.101799905</v>
      </c>
      <c r="F12">
        <v>100</v>
      </c>
      <c r="G12">
        <v>83.153876101799909</v>
      </c>
      <c r="J12">
        <v>22</v>
      </c>
      <c r="K12" t="s">
        <v>12</v>
      </c>
      <c r="L12">
        <v>5</v>
      </c>
      <c r="M12" t="s">
        <v>5</v>
      </c>
      <c r="N12">
        <v>5914231047.2399902</v>
      </c>
      <c r="O12">
        <v>86</v>
      </c>
      <c r="P12">
        <v>2.2222257327224741</v>
      </c>
      <c r="Q12" t="s">
        <v>53</v>
      </c>
      <c r="R12" t="s">
        <v>6</v>
      </c>
      <c r="S12">
        <f>SUM(N32)</f>
        <v>3616920501.6100001</v>
      </c>
      <c r="U12">
        <v>2017</v>
      </c>
      <c r="V12">
        <v>968.51900000000001</v>
      </c>
      <c r="W12" cm="1">
        <f t="array" ref="W12:W16">V12:V16/365</f>
        <v>2.653476712328767</v>
      </c>
      <c r="X12">
        <f>(25400/U7)-254</f>
        <v>54.99257369579675</v>
      </c>
      <c r="Y12" cm="1">
        <f t="array" ref="Y12:Y16">0.2*X12:X16</f>
        <v>10.998514739159351</v>
      </c>
      <c r="Z12" cm="1">
        <f t="array" ref="Z12:Z16">POWER((W12:W16-Y12:Y16),2)</f>
        <v>69.639659669248474</v>
      </c>
      <c r="AA12" cm="1">
        <f t="array" ref="AA12:AA16">0.8*X12:X16</f>
        <v>43.994058956637403</v>
      </c>
      <c r="AB12" cm="1">
        <f t="array" ref="AB12:AB16">W12:W16+AA12:AA16</f>
        <v>46.647535668966171</v>
      </c>
      <c r="AC12" cm="1">
        <f t="array" ref="AC12:AC16">Z12:Z16/AB12:AB16</f>
        <v>1.4928904318428675</v>
      </c>
      <c r="AD12" cm="1">
        <f t="array" ref="AD12:AD16">(AC12:AC16*E36)/1000000000</f>
        <v>470.61893867473674</v>
      </c>
      <c r="AE12">
        <v>10</v>
      </c>
      <c r="AF12" t="s">
        <v>65</v>
      </c>
      <c r="AG12">
        <v>894.17367326199997</v>
      </c>
    </row>
    <row r="13" spans="1:33" x14ac:dyDescent="0.3">
      <c r="A13">
        <v>14</v>
      </c>
      <c r="B13" t="s">
        <v>12</v>
      </c>
      <c r="C13">
        <v>5</v>
      </c>
      <c r="D13" t="s">
        <v>5</v>
      </c>
      <c r="E13">
        <v>3983.9126586699899</v>
      </c>
      <c r="F13">
        <v>86</v>
      </c>
      <c r="G13">
        <v>3.9839126586699901E-3</v>
      </c>
      <c r="J13">
        <v>23</v>
      </c>
      <c r="K13" t="s">
        <v>13</v>
      </c>
      <c r="L13">
        <v>7</v>
      </c>
      <c r="M13" t="s">
        <v>5</v>
      </c>
      <c r="N13">
        <v>1832.3481559899899</v>
      </c>
      <c r="O13">
        <v>95</v>
      </c>
      <c r="P13">
        <v>7.6054170676137489E-7</v>
      </c>
      <c r="Q13" t="s">
        <v>53</v>
      </c>
      <c r="R13" t="s">
        <v>5</v>
      </c>
      <c r="S13">
        <f>SUM(N13:N15)</f>
        <v>8402047924.1201553</v>
      </c>
      <c r="U13">
        <v>2018</v>
      </c>
      <c r="V13">
        <v>1040.5899999999999</v>
      </c>
      <c r="W13">
        <v>2.8509315068493146</v>
      </c>
      <c r="X13">
        <v>54.992570000000001</v>
      </c>
      <c r="Y13">
        <v>10.998514</v>
      </c>
      <c r="Z13">
        <v>66.383100482695554</v>
      </c>
      <c r="AA13">
        <v>43.994056</v>
      </c>
      <c r="AB13">
        <v>46.844987506849314</v>
      </c>
      <c r="AC13">
        <v>1.4170801192547982</v>
      </c>
      <c r="AD13">
        <v>446.7204876633283</v>
      </c>
      <c r="AE13">
        <v>11</v>
      </c>
      <c r="AF13" t="s">
        <v>39</v>
      </c>
      <c r="AG13">
        <v>13268633318.4</v>
      </c>
    </row>
    <row r="14" spans="1:33" x14ac:dyDescent="0.3">
      <c r="A14">
        <v>15</v>
      </c>
      <c r="B14" t="s">
        <v>12</v>
      </c>
      <c r="C14">
        <v>5</v>
      </c>
      <c r="D14" t="s">
        <v>6</v>
      </c>
      <c r="E14">
        <v>9262354246.2600002</v>
      </c>
      <c r="F14">
        <v>82</v>
      </c>
      <c r="G14">
        <v>9262.3542462599999</v>
      </c>
      <c r="J14">
        <v>25</v>
      </c>
      <c r="K14" t="s">
        <v>13</v>
      </c>
      <c r="L14">
        <v>7</v>
      </c>
      <c r="M14" t="s">
        <v>5</v>
      </c>
      <c r="N14">
        <v>7504846187.8800001</v>
      </c>
      <c r="O14">
        <v>95</v>
      </c>
      <c r="P14">
        <v>3.1149912804796873</v>
      </c>
      <c r="Q14" t="s">
        <v>54</v>
      </c>
      <c r="R14" t="s">
        <v>6</v>
      </c>
      <c r="S14">
        <f>SUM(N33)</f>
        <v>61211905.795000002</v>
      </c>
      <c r="U14">
        <v>2019</v>
      </c>
      <c r="V14">
        <v>1283.27</v>
      </c>
      <c r="W14">
        <v>3.5158082191780822</v>
      </c>
      <c r="X14">
        <v>54.992570000000001</v>
      </c>
      <c r="Y14">
        <v>10.998514</v>
      </c>
      <c r="Z14">
        <v>55.990885802345758</v>
      </c>
      <c r="AA14">
        <v>43.994056</v>
      </c>
      <c r="AB14">
        <v>47.509864219178084</v>
      </c>
      <c r="AC14">
        <v>1.1785107518733799</v>
      </c>
      <c r="AD14">
        <v>371.51385489072044</v>
      </c>
      <c r="AE14">
        <v>12</v>
      </c>
      <c r="AF14" t="s">
        <v>39</v>
      </c>
      <c r="AG14">
        <v>3164364941.5799999</v>
      </c>
    </row>
    <row r="15" spans="1:33" x14ac:dyDescent="0.3">
      <c r="A15">
        <v>16</v>
      </c>
      <c r="B15" t="s">
        <v>12</v>
      </c>
      <c r="C15">
        <v>5</v>
      </c>
      <c r="D15" t="s">
        <v>6</v>
      </c>
      <c r="E15">
        <v>9013615148.5900002</v>
      </c>
      <c r="F15">
        <v>82</v>
      </c>
      <c r="G15">
        <v>9013.6151485900009</v>
      </c>
      <c r="J15">
        <v>26</v>
      </c>
      <c r="K15" t="s">
        <v>13</v>
      </c>
      <c r="L15">
        <v>7</v>
      </c>
      <c r="M15" t="s">
        <v>5</v>
      </c>
      <c r="N15">
        <v>897199903.89199901</v>
      </c>
      <c r="O15">
        <v>95</v>
      </c>
      <c r="P15">
        <v>0.3723953572805026</v>
      </c>
      <c r="Q15" t="s">
        <v>54</v>
      </c>
      <c r="R15" t="s">
        <v>5</v>
      </c>
      <c r="S15">
        <f>SUM(N16)</f>
        <v>258628506.09900001</v>
      </c>
      <c r="U15">
        <v>2020</v>
      </c>
      <c r="V15">
        <v>1303.06</v>
      </c>
      <c r="W15">
        <v>3.5700273972602736</v>
      </c>
      <c r="X15">
        <v>54.992570000000001</v>
      </c>
      <c r="Y15">
        <v>10.998514</v>
      </c>
      <c r="Z15">
        <v>55.182413207083599</v>
      </c>
      <c r="AA15">
        <v>43.994056</v>
      </c>
      <c r="AB15">
        <v>47.564083397260276</v>
      </c>
      <c r="AC15">
        <v>1.1601698017849775</v>
      </c>
      <c r="AD15">
        <v>365.73205183218312</v>
      </c>
      <c r="AE15">
        <v>13</v>
      </c>
      <c r="AF15" t="s">
        <v>40</v>
      </c>
      <c r="AG15">
        <v>22302279987.799999</v>
      </c>
    </row>
    <row r="16" spans="1:33" x14ac:dyDescent="0.3">
      <c r="A16">
        <v>17</v>
      </c>
      <c r="B16" t="s">
        <v>12</v>
      </c>
      <c r="C16">
        <v>5</v>
      </c>
      <c r="D16" t="s">
        <v>5</v>
      </c>
      <c r="E16">
        <v>36990361798.800003</v>
      </c>
      <c r="F16">
        <v>86</v>
      </c>
      <c r="G16">
        <v>36990.361798800004</v>
      </c>
      <c r="J16">
        <v>28</v>
      </c>
      <c r="K16" t="s">
        <v>14</v>
      </c>
      <c r="L16">
        <v>8</v>
      </c>
      <c r="M16" t="s">
        <v>5</v>
      </c>
      <c r="N16">
        <v>258628506.09900001</v>
      </c>
      <c r="O16">
        <v>84</v>
      </c>
      <c r="P16">
        <v>9.4917679340198985E-2</v>
      </c>
      <c r="Q16" t="s">
        <v>55</v>
      </c>
      <c r="R16" t="s">
        <v>6</v>
      </c>
      <c r="S16">
        <f>SUM(N34:N38)</f>
        <v>29054269173.153984</v>
      </c>
      <c r="U16">
        <v>2021</v>
      </c>
      <c r="V16">
        <v>1250.17</v>
      </c>
      <c r="W16">
        <v>3.4251232876712332</v>
      </c>
      <c r="X16">
        <v>54.992570000000001</v>
      </c>
      <c r="Y16">
        <v>10.998514</v>
      </c>
      <c r="Z16">
        <v>57.356246881587623</v>
      </c>
      <c r="AA16">
        <v>43.994056</v>
      </c>
      <c r="AB16">
        <v>47.419179287671234</v>
      </c>
      <c r="AC16">
        <v>1.2095579835667882</v>
      </c>
      <c r="AD16">
        <v>381.30118751519427</v>
      </c>
      <c r="AE16">
        <v>14</v>
      </c>
      <c r="AF16" t="s">
        <v>40</v>
      </c>
      <c r="AG16">
        <v>42781148856.300003</v>
      </c>
    </row>
    <row r="17" spans="1:35" x14ac:dyDescent="0.3">
      <c r="A17">
        <v>18</v>
      </c>
      <c r="B17" t="s">
        <v>12</v>
      </c>
      <c r="C17">
        <v>5</v>
      </c>
      <c r="D17" t="s">
        <v>5</v>
      </c>
      <c r="E17">
        <v>44774277418.300003</v>
      </c>
      <c r="F17">
        <v>86</v>
      </c>
      <c r="G17">
        <v>44774.2774183</v>
      </c>
      <c r="J17">
        <v>34</v>
      </c>
      <c r="K17" t="s">
        <v>15</v>
      </c>
      <c r="L17">
        <v>11</v>
      </c>
      <c r="M17" t="s">
        <v>5</v>
      </c>
      <c r="N17">
        <v>10595375539.5</v>
      </c>
      <c r="O17">
        <v>80</v>
      </c>
      <c r="P17">
        <v>3.7033757253800088</v>
      </c>
      <c r="Q17" t="s">
        <v>55</v>
      </c>
      <c r="R17" t="s">
        <v>5</v>
      </c>
      <c r="S17">
        <f>SUM(N17:N19)</f>
        <v>37087197276.599899</v>
      </c>
      <c r="AE17">
        <v>15</v>
      </c>
      <c r="AF17" t="s">
        <v>40</v>
      </c>
      <c r="AG17">
        <v>29510526119.200001</v>
      </c>
    </row>
    <row r="18" spans="1:35" x14ac:dyDescent="0.3">
      <c r="A18">
        <v>19</v>
      </c>
      <c r="B18" t="s">
        <v>12</v>
      </c>
      <c r="C18">
        <v>5</v>
      </c>
      <c r="D18" t="s">
        <v>5</v>
      </c>
      <c r="E18">
        <v>17744836105.200001</v>
      </c>
      <c r="F18">
        <v>86</v>
      </c>
      <c r="G18">
        <v>17744.8361052</v>
      </c>
      <c r="J18">
        <v>35</v>
      </c>
      <c r="K18" t="s">
        <v>15</v>
      </c>
      <c r="L18">
        <v>11</v>
      </c>
      <c r="M18" t="s">
        <v>5</v>
      </c>
      <c r="N18">
        <v>10809441797.3999</v>
      </c>
      <c r="O18">
        <v>80</v>
      </c>
      <c r="P18">
        <v>3.7781977814906162</v>
      </c>
      <c r="AE18">
        <v>16</v>
      </c>
      <c r="AF18" t="s">
        <v>40</v>
      </c>
      <c r="AG18">
        <v>34412106481.400002</v>
      </c>
    </row>
    <row r="19" spans="1:35" x14ac:dyDescent="0.3">
      <c r="A19">
        <v>20</v>
      </c>
      <c r="B19" t="s">
        <v>12</v>
      </c>
      <c r="C19">
        <v>5</v>
      </c>
      <c r="D19" t="s">
        <v>5</v>
      </c>
      <c r="E19">
        <v>33148951454.700001</v>
      </c>
      <c r="F19">
        <v>86</v>
      </c>
      <c r="G19">
        <v>33148.9514547</v>
      </c>
      <c r="J19">
        <v>36</v>
      </c>
      <c r="K19" t="s">
        <v>15</v>
      </c>
      <c r="L19">
        <v>11</v>
      </c>
      <c r="M19" t="s">
        <v>5</v>
      </c>
      <c r="N19">
        <v>15682379939.700001</v>
      </c>
      <c r="O19">
        <v>80</v>
      </c>
      <c r="P19">
        <v>5.4814239446591708</v>
      </c>
      <c r="Y19" t="s">
        <v>28</v>
      </c>
      <c r="AE19">
        <v>17</v>
      </c>
      <c r="AF19" t="s">
        <v>40</v>
      </c>
      <c r="AG19">
        <v>12038193705.6</v>
      </c>
    </row>
    <row r="20" spans="1:35" x14ac:dyDescent="0.3">
      <c r="A20">
        <v>21</v>
      </c>
      <c r="B20" t="s">
        <v>12</v>
      </c>
      <c r="C20">
        <v>5</v>
      </c>
      <c r="D20" t="s">
        <v>5</v>
      </c>
      <c r="E20">
        <v>15333772326.3999</v>
      </c>
      <c r="F20">
        <v>86</v>
      </c>
      <c r="G20">
        <v>15333.7723263999</v>
      </c>
      <c r="N20">
        <f>SUM(N2:N19)</f>
        <v>228880379960.10342</v>
      </c>
      <c r="P20">
        <f>SUM(_xlfn.ANCHORARRAY(P2))</f>
        <v>84.655861749945501</v>
      </c>
      <c r="AE20">
        <v>18</v>
      </c>
      <c r="AF20" t="s">
        <v>40</v>
      </c>
      <c r="AG20">
        <v>9250831609.8299999</v>
      </c>
    </row>
    <row r="21" spans="1:35" x14ac:dyDescent="0.3">
      <c r="A21">
        <v>22</v>
      </c>
      <c r="B21" t="s">
        <v>12</v>
      </c>
      <c r="C21">
        <v>5</v>
      </c>
      <c r="D21" t="s">
        <v>5</v>
      </c>
      <c r="E21">
        <v>5914231047.2399902</v>
      </c>
      <c r="F21">
        <v>86</v>
      </c>
      <c r="G21">
        <v>5914.2310472399904</v>
      </c>
      <c r="AE21">
        <v>19</v>
      </c>
      <c r="AF21" t="s">
        <v>41</v>
      </c>
      <c r="AG21">
        <v>2598668789.3299999</v>
      </c>
    </row>
    <row r="22" spans="1:35" x14ac:dyDescent="0.3">
      <c r="A22">
        <v>23</v>
      </c>
      <c r="B22" t="s">
        <v>13</v>
      </c>
      <c r="C22">
        <v>7</v>
      </c>
      <c r="D22" t="s">
        <v>5</v>
      </c>
      <c r="E22">
        <v>1832.3481559899899</v>
      </c>
      <c r="F22">
        <v>95</v>
      </c>
      <c r="G22">
        <v>1.8323481559899899E-3</v>
      </c>
      <c r="J22" t="s">
        <v>0</v>
      </c>
      <c r="K22" t="s">
        <v>7</v>
      </c>
      <c r="L22" t="s">
        <v>1</v>
      </c>
      <c r="M22" t="s">
        <v>2</v>
      </c>
      <c r="N22" t="s">
        <v>3</v>
      </c>
      <c r="O22" t="s">
        <v>4</v>
      </c>
      <c r="P22" t="s">
        <v>16</v>
      </c>
      <c r="AE22">
        <v>20</v>
      </c>
      <c r="AF22" t="s">
        <v>42</v>
      </c>
      <c r="AG22">
        <v>5679568796.0699997</v>
      </c>
    </row>
    <row r="23" spans="1:35" x14ac:dyDescent="0.3">
      <c r="A23">
        <v>24</v>
      </c>
      <c r="B23" t="s">
        <v>13</v>
      </c>
      <c r="C23">
        <v>7</v>
      </c>
      <c r="D23" t="s">
        <v>6</v>
      </c>
      <c r="E23">
        <v>3616920501.6100001</v>
      </c>
      <c r="F23">
        <v>94</v>
      </c>
      <c r="G23">
        <v>3616.92050161</v>
      </c>
      <c r="J23">
        <v>3</v>
      </c>
      <c r="K23" t="s">
        <v>9</v>
      </c>
      <c r="L23">
        <v>1</v>
      </c>
      <c r="M23" t="s">
        <v>6</v>
      </c>
      <c r="N23">
        <v>300</v>
      </c>
      <c r="O23">
        <v>100</v>
      </c>
      <c r="P23" cm="1">
        <f t="array" ref="P23:P38">(N23:N38*O23:O38)/N39</f>
        <v>3.4738414784461317E-7</v>
      </c>
      <c r="AE23">
        <v>21</v>
      </c>
      <c r="AF23" t="s">
        <v>66</v>
      </c>
      <c r="AG23">
        <v>114372765.39399999</v>
      </c>
    </row>
    <row r="24" spans="1:35" x14ac:dyDescent="0.3">
      <c r="A24">
        <v>25</v>
      </c>
      <c r="B24" t="s">
        <v>13</v>
      </c>
      <c r="C24">
        <v>7</v>
      </c>
      <c r="D24" t="s">
        <v>5</v>
      </c>
      <c r="E24">
        <v>7504846187.8800001</v>
      </c>
      <c r="F24">
        <v>95</v>
      </c>
      <c r="G24">
        <v>7504.8461878799999</v>
      </c>
      <c r="J24">
        <v>4</v>
      </c>
      <c r="K24" t="s">
        <v>9</v>
      </c>
      <c r="L24">
        <v>1</v>
      </c>
      <c r="M24" t="s">
        <v>6</v>
      </c>
      <c r="N24">
        <v>2276788992.73</v>
      </c>
      <c r="O24">
        <v>100</v>
      </c>
      <c r="P24">
        <v>2.6364013468716871</v>
      </c>
      <c r="AE24">
        <v>22</v>
      </c>
      <c r="AF24" t="s">
        <v>43</v>
      </c>
      <c r="AG24">
        <v>409853230.07700002</v>
      </c>
    </row>
    <row r="25" spans="1:35" x14ac:dyDescent="0.3">
      <c r="A25">
        <v>26</v>
      </c>
      <c r="B25" t="s">
        <v>13</v>
      </c>
      <c r="C25">
        <v>7</v>
      </c>
      <c r="D25" t="s">
        <v>5</v>
      </c>
      <c r="E25">
        <v>897199903.89199901</v>
      </c>
      <c r="F25">
        <v>95</v>
      </c>
      <c r="G25">
        <v>897.19990389199904</v>
      </c>
      <c r="J25">
        <v>6</v>
      </c>
      <c r="K25" t="s">
        <v>10</v>
      </c>
      <c r="L25">
        <v>2</v>
      </c>
      <c r="M25" t="s">
        <v>6</v>
      </c>
      <c r="N25">
        <v>7348.5140325499897</v>
      </c>
      <c r="O25">
        <v>70</v>
      </c>
      <c r="P25">
        <v>5.9564336652836399E-6</v>
      </c>
      <c r="AE25">
        <v>23</v>
      </c>
      <c r="AF25" t="s">
        <v>44</v>
      </c>
      <c r="AG25">
        <v>2143.4692382200001</v>
      </c>
    </row>
    <row r="26" spans="1:35" x14ac:dyDescent="0.3">
      <c r="A26">
        <v>27</v>
      </c>
      <c r="B26" t="s">
        <v>14</v>
      </c>
      <c r="C26">
        <v>8</v>
      </c>
      <c r="D26" t="s">
        <v>6</v>
      </c>
      <c r="E26">
        <v>61211905.795000002</v>
      </c>
      <c r="F26">
        <v>79</v>
      </c>
      <c r="G26">
        <v>61.211905795</v>
      </c>
      <c r="J26">
        <v>7</v>
      </c>
      <c r="K26" t="s">
        <v>10</v>
      </c>
      <c r="L26">
        <v>2</v>
      </c>
      <c r="M26" t="s">
        <v>6</v>
      </c>
      <c r="N26">
        <v>11238591761.5</v>
      </c>
      <c r="O26">
        <v>70</v>
      </c>
      <c r="P26">
        <v>9.1095867847650567</v>
      </c>
      <c r="R26" t="s">
        <v>31</v>
      </c>
      <c r="AE26">
        <v>24</v>
      </c>
      <c r="AF26" t="s">
        <v>45</v>
      </c>
      <c r="AG26">
        <v>1478.7597656400001</v>
      </c>
      <c r="AI26" t="s">
        <v>31</v>
      </c>
    </row>
    <row r="27" spans="1:35" x14ac:dyDescent="0.3">
      <c r="A27">
        <v>28</v>
      </c>
      <c r="B27" t="s">
        <v>14</v>
      </c>
      <c r="C27">
        <v>8</v>
      </c>
      <c r="D27" t="s">
        <v>5</v>
      </c>
      <c r="E27">
        <v>258628506.09900001</v>
      </c>
      <c r="F27">
        <v>84</v>
      </c>
      <c r="G27">
        <v>258.62850609899999</v>
      </c>
      <c r="J27">
        <v>8</v>
      </c>
      <c r="K27" t="s">
        <v>10</v>
      </c>
      <c r="L27">
        <v>2</v>
      </c>
      <c r="M27" t="s">
        <v>6</v>
      </c>
      <c r="N27">
        <v>20187031771.599899</v>
      </c>
      <c r="O27">
        <v>70</v>
      </c>
      <c r="P27">
        <v>16.362861268808512</v>
      </c>
      <c r="AE27">
        <v>25</v>
      </c>
      <c r="AF27" t="s">
        <v>67</v>
      </c>
      <c r="AG27">
        <v>3077.7209113499998</v>
      </c>
    </row>
    <row r="28" spans="1:35" x14ac:dyDescent="0.3">
      <c r="A28">
        <v>29</v>
      </c>
      <c r="B28" t="s">
        <v>15</v>
      </c>
      <c r="C28">
        <v>11</v>
      </c>
      <c r="D28" t="s">
        <v>6</v>
      </c>
      <c r="E28">
        <v>21132.434081999902</v>
      </c>
      <c r="F28">
        <v>74</v>
      </c>
      <c r="G28">
        <v>2.1132434081999902E-2</v>
      </c>
      <c r="J28">
        <v>9</v>
      </c>
      <c r="K28" t="s">
        <v>10</v>
      </c>
      <c r="L28">
        <v>2</v>
      </c>
      <c r="M28" t="s">
        <v>6</v>
      </c>
      <c r="N28">
        <v>1611350886.25</v>
      </c>
      <c r="O28">
        <v>70</v>
      </c>
      <c r="P28">
        <v>1.306101427163443</v>
      </c>
      <c r="AE28">
        <v>26</v>
      </c>
      <c r="AF28" t="s">
        <v>68</v>
      </c>
      <c r="AG28">
        <v>9509714899.2199993</v>
      </c>
    </row>
    <row r="29" spans="1:35" x14ac:dyDescent="0.3">
      <c r="A29">
        <v>30</v>
      </c>
      <c r="B29" t="s">
        <v>15</v>
      </c>
      <c r="C29">
        <v>11</v>
      </c>
      <c r="D29" t="s">
        <v>6</v>
      </c>
      <c r="E29">
        <v>7327573904.0900002</v>
      </c>
      <c r="F29">
        <v>74</v>
      </c>
      <c r="G29">
        <v>7327.5739040899998</v>
      </c>
      <c r="J29">
        <v>12</v>
      </c>
      <c r="K29" t="s">
        <v>11</v>
      </c>
      <c r="L29">
        <v>4</v>
      </c>
      <c r="M29" t="s">
        <v>6</v>
      </c>
      <c r="N29">
        <v>37584468.901299901</v>
      </c>
      <c r="O29">
        <v>100</v>
      </c>
      <c r="P29">
        <v>4.3520829004901437E-2</v>
      </c>
      <c r="R29" t="s">
        <v>31</v>
      </c>
      <c r="AE29">
        <v>27</v>
      </c>
      <c r="AF29" t="s">
        <v>68</v>
      </c>
      <c r="AG29">
        <v>9576592358.7000008</v>
      </c>
    </row>
    <row r="30" spans="1:35" x14ac:dyDescent="0.3">
      <c r="A30">
        <v>31</v>
      </c>
      <c r="B30" t="s">
        <v>15</v>
      </c>
      <c r="C30">
        <v>11</v>
      </c>
      <c r="D30" t="s">
        <v>6</v>
      </c>
      <c r="E30">
        <v>10790686483.8999</v>
      </c>
      <c r="F30">
        <v>74</v>
      </c>
      <c r="G30">
        <v>10790.686483899901</v>
      </c>
      <c r="J30">
        <v>15</v>
      </c>
      <c r="K30" t="s">
        <v>12</v>
      </c>
      <c r="L30">
        <v>5</v>
      </c>
      <c r="M30" t="s">
        <v>6</v>
      </c>
      <c r="N30">
        <v>9262354246.2600002</v>
      </c>
      <c r="O30">
        <v>82</v>
      </c>
      <c r="P30">
        <v>8.7947597674500368</v>
      </c>
      <c r="AE30">
        <v>28</v>
      </c>
      <c r="AF30" t="s">
        <v>68</v>
      </c>
      <c r="AG30">
        <v>8654115734.3299999</v>
      </c>
    </row>
    <row r="31" spans="1:35" x14ac:dyDescent="0.3">
      <c r="A31">
        <v>32</v>
      </c>
      <c r="B31" t="s">
        <v>15</v>
      </c>
      <c r="C31">
        <v>11</v>
      </c>
      <c r="D31" t="s">
        <v>6</v>
      </c>
      <c r="E31">
        <v>7504456513.0600004</v>
      </c>
      <c r="F31">
        <v>74</v>
      </c>
      <c r="G31">
        <v>7504.4565130600004</v>
      </c>
      <c r="J31">
        <v>16</v>
      </c>
      <c r="K31" t="s">
        <v>12</v>
      </c>
      <c r="L31">
        <v>5</v>
      </c>
      <c r="M31" t="s">
        <v>6</v>
      </c>
      <c r="N31">
        <v>9013615148.5900002</v>
      </c>
      <c r="O31">
        <v>82</v>
      </c>
      <c r="P31">
        <v>8.5585778475387713</v>
      </c>
      <c r="AE31">
        <v>29</v>
      </c>
      <c r="AF31" t="s">
        <v>69</v>
      </c>
      <c r="AG31">
        <v>10144872524.5</v>
      </c>
    </row>
    <row r="32" spans="1:35" x14ac:dyDescent="0.3">
      <c r="A32">
        <v>33</v>
      </c>
      <c r="B32" t="s">
        <v>15</v>
      </c>
      <c r="C32">
        <v>11</v>
      </c>
      <c r="D32" t="s">
        <v>6</v>
      </c>
      <c r="E32">
        <v>3431531139.6700001</v>
      </c>
      <c r="F32">
        <v>74</v>
      </c>
      <c r="G32">
        <v>3431.5311396699999</v>
      </c>
      <c r="J32">
        <v>24</v>
      </c>
      <c r="K32" t="s">
        <v>13</v>
      </c>
      <c r="L32">
        <v>7</v>
      </c>
      <c r="M32" t="s">
        <v>6</v>
      </c>
      <c r="N32">
        <v>3616920501.6100001</v>
      </c>
      <c r="O32">
        <v>94</v>
      </c>
      <c r="P32">
        <v>3.936910651656969</v>
      </c>
      <c r="AE32">
        <v>30</v>
      </c>
      <c r="AF32" t="s">
        <v>69</v>
      </c>
      <c r="AG32">
        <v>12561108523</v>
      </c>
    </row>
    <row r="33" spans="1:33" x14ac:dyDescent="0.3">
      <c r="A33">
        <v>34</v>
      </c>
      <c r="B33" t="s">
        <v>15</v>
      </c>
      <c r="C33">
        <v>11</v>
      </c>
      <c r="D33" t="s">
        <v>5</v>
      </c>
      <c r="E33">
        <v>10595375539.5</v>
      </c>
      <c r="F33">
        <v>80</v>
      </c>
      <c r="G33">
        <v>10595.375539500001</v>
      </c>
      <c r="J33">
        <v>27</v>
      </c>
      <c r="K33" t="s">
        <v>14</v>
      </c>
      <c r="L33">
        <v>8</v>
      </c>
      <c r="M33" t="s">
        <v>6</v>
      </c>
      <c r="N33">
        <v>61211905.795000002</v>
      </c>
      <c r="O33">
        <v>79</v>
      </c>
      <c r="P33">
        <v>5.5995320429024144E-2</v>
      </c>
      <c r="AE33">
        <v>31</v>
      </c>
      <c r="AF33" t="s">
        <v>69</v>
      </c>
      <c r="AG33">
        <v>12546969000.5</v>
      </c>
    </row>
    <row r="34" spans="1:33" x14ac:dyDescent="0.3">
      <c r="A34">
        <v>35</v>
      </c>
      <c r="B34" t="s">
        <v>15</v>
      </c>
      <c r="C34">
        <v>11</v>
      </c>
      <c r="D34" t="s">
        <v>5</v>
      </c>
      <c r="E34">
        <v>10809441797.3999</v>
      </c>
      <c r="F34">
        <v>80</v>
      </c>
      <c r="G34">
        <v>10809.441797399901</v>
      </c>
      <c r="J34">
        <v>29</v>
      </c>
      <c r="K34" t="s">
        <v>15</v>
      </c>
      <c r="L34">
        <v>11</v>
      </c>
      <c r="M34" t="s">
        <v>6</v>
      </c>
      <c r="N34">
        <v>21132.434081999902</v>
      </c>
      <c r="O34">
        <v>74</v>
      </c>
      <c r="P34">
        <v>1.8107979093463058E-5</v>
      </c>
      <c r="R34" t="s">
        <v>5</v>
      </c>
      <c r="U34">
        <f>N20/1000000</f>
        <v>228880.37996010343</v>
      </c>
    </row>
    <row r="35" spans="1:33" x14ac:dyDescent="0.3">
      <c r="A35">
        <v>36</v>
      </c>
      <c r="B35" t="s">
        <v>15</v>
      </c>
      <c r="C35">
        <v>11</v>
      </c>
      <c r="D35" t="s">
        <v>5</v>
      </c>
      <c r="E35">
        <v>15682379939.700001</v>
      </c>
      <c r="F35">
        <v>80</v>
      </c>
      <c r="G35">
        <v>15682.3799397</v>
      </c>
      <c r="J35">
        <v>30</v>
      </c>
      <c r="K35" t="s">
        <v>15</v>
      </c>
      <c r="L35">
        <v>11</v>
      </c>
      <c r="M35" t="s">
        <v>6</v>
      </c>
      <c r="N35">
        <v>7327573904.0900002</v>
      </c>
      <c r="O35">
        <v>74</v>
      </c>
      <c r="P35">
        <v>6.2788581072204677</v>
      </c>
      <c r="R35" t="s">
        <v>6</v>
      </c>
      <c r="U35">
        <f>N39/1000000</f>
        <v>86359.726504904203</v>
      </c>
    </row>
    <row r="36" spans="1:33" x14ac:dyDescent="0.3">
      <c r="A36" t="s">
        <v>17</v>
      </c>
      <c r="E36">
        <f>SUM(E2:E35)</f>
        <v>315240106465.00763</v>
      </c>
      <c r="J36">
        <v>31</v>
      </c>
      <c r="K36" t="s">
        <v>15</v>
      </c>
      <c r="L36">
        <v>11</v>
      </c>
      <c r="M36" t="s">
        <v>6</v>
      </c>
      <c r="N36">
        <v>10790686483.8999</v>
      </c>
      <c r="O36">
        <v>74</v>
      </c>
      <c r="P36">
        <v>9.2463331245409481</v>
      </c>
      <c r="U36">
        <f>SUM(U34:U35)</f>
        <v>315240.10646500764</v>
      </c>
    </row>
    <row r="37" spans="1:33" x14ac:dyDescent="0.3">
      <c r="J37">
        <v>32</v>
      </c>
      <c r="K37" t="s">
        <v>15</v>
      </c>
      <c r="L37">
        <v>11</v>
      </c>
      <c r="M37" t="s">
        <v>6</v>
      </c>
      <c r="N37">
        <v>7504456513.0600004</v>
      </c>
      <c r="O37">
        <v>74</v>
      </c>
      <c r="P37">
        <v>6.4304254360382203</v>
      </c>
    </row>
    <row r="38" spans="1:33" x14ac:dyDescent="0.3">
      <c r="J38">
        <v>33</v>
      </c>
      <c r="K38" t="s">
        <v>15</v>
      </c>
      <c r="L38">
        <v>11</v>
      </c>
      <c r="M38" t="s">
        <v>6</v>
      </c>
      <c r="N38">
        <v>3431531139.6700001</v>
      </c>
      <c r="O38">
        <v>74</v>
      </c>
      <c r="P38">
        <v>2.9404134845327423</v>
      </c>
    </row>
    <row r="39" spans="1:33" x14ac:dyDescent="0.3">
      <c r="N39">
        <f>SUM(N23:N38)</f>
        <v>86359726504.904205</v>
      </c>
      <c r="P39">
        <f>SUM(_xlfn.ANCHORARRAY(P23))</f>
        <v>75.700769807817693</v>
      </c>
    </row>
    <row r="42" spans="1:33" x14ac:dyDescent="0.3">
      <c r="A42">
        <v>0</v>
      </c>
      <c r="B42" t="s">
        <v>8</v>
      </c>
      <c r="C42">
        <v>0</v>
      </c>
      <c r="D42" t="s">
        <v>5</v>
      </c>
      <c r="E42">
        <v>86000</v>
      </c>
      <c r="F42">
        <v>0</v>
      </c>
    </row>
    <row r="43" spans="1:33" x14ac:dyDescent="0.3">
      <c r="A43">
        <v>1</v>
      </c>
      <c r="B43" t="s">
        <v>8</v>
      </c>
      <c r="C43">
        <v>0</v>
      </c>
      <c r="D43" t="s">
        <v>6</v>
      </c>
      <c r="E43">
        <v>3089437.8662100001</v>
      </c>
      <c r="F43">
        <v>0</v>
      </c>
    </row>
    <row r="44" spans="1:33" x14ac:dyDescent="0.3">
      <c r="A44">
        <v>2</v>
      </c>
      <c r="B44" t="s">
        <v>8</v>
      </c>
      <c r="C44">
        <v>0</v>
      </c>
      <c r="D44" t="s">
        <v>5</v>
      </c>
      <c r="E44">
        <v>3106403.3935600002</v>
      </c>
      <c r="F44">
        <v>0</v>
      </c>
    </row>
    <row r="47" spans="1:33" x14ac:dyDescent="0.3">
      <c r="A47">
        <v>2017</v>
      </c>
    </row>
    <row r="48" spans="1:33" x14ac:dyDescent="0.3">
      <c r="A48" t="s">
        <v>0</v>
      </c>
      <c r="B48" t="s">
        <v>32</v>
      </c>
      <c r="C48" t="s">
        <v>3</v>
      </c>
      <c r="D48" t="s">
        <v>48</v>
      </c>
    </row>
    <row r="49" spans="1:4" x14ac:dyDescent="0.3">
      <c r="A49">
        <v>0</v>
      </c>
      <c r="B49" t="s">
        <v>33</v>
      </c>
      <c r="C49">
        <v>651113906.29700005</v>
      </c>
      <c r="D49" cm="1">
        <f t="array" ref="D49:D63">C49:C63/1000000</f>
        <v>651.11390629700009</v>
      </c>
    </row>
    <row r="50" spans="1:4" x14ac:dyDescent="0.3">
      <c r="A50">
        <v>1</v>
      </c>
      <c r="B50" t="s">
        <v>34</v>
      </c>
      <c r="C50">
        <v>580702793.28299904</v>
      </c>
      <c r="D50">
        <v>580.70279328299898</v>
      </c>
    </row>
    <row r="51" spans="1:4" x14ac:dyDescent="0.3">
      <c r="A51">
        <v>2</v>
      </c>
      <c r="B51" t="s">
        <v>35</v>
      </c>
      <c r="C51">
        <v>1843869923.9400001</v>
      </c>
      <c r="D51">
        <v>1843.86992394</v>
      </c>
    </row>
    <row r="52" spans="1:4" x14ac:dyDescent="0.3">
      <c r="A52">
        <v>3</v>
      </c>
      <c r="B52" t="s">
        <v>36</v>
      </c>
      <c r="C52">
        <v>3408810261.7399902</v>
      </c>
      <c r="D52">
        <v>3408.8102617399904</v>
      </c>
    </row>
    <row r="53" spans="1:4" x14ac:dyDescent="0.3">
      <c r="A53">
        <v>4</v>
      </c>
      <c r="B53" t="s">
        <v>37</v>
      </c>
      <c r="C53">
        <v>53716725968.699898</v>
      </c>
      <c r="D53">
        <v>53716.725968699895</v>
      </c>
    </row>
    <row r="54" spans="1:4" x14ac:dyDescent="0.3">
      <c r="A54">
        <v>5</v>
      </c>
      <c r="B54" t="s">
        <v>38</v>
      </c>
      <c r="C54">
        <v>17647348152.700001</v>
      </c>
      <c r="D54">
        <v>17647.3481527</v>
      </c>
    </row>
    <row r="55" spans="1:4" x14ac:dyDescent="0.3">
      <c r="A55">
        <v>6</v>
      </c>
      <c r="B55" t="s">
        <v>39</v>
      </c>
      <c r="C55">
        <v>61323482.391800001</v>
      </c>
      <c r="D55">
        <v>61.323482391799999</v>
      </c>
    </row>
    <row r="56" spans="1:4" x14ac:dyDescent="0.3">
      <c r="A56">
        <v>7</v>
      </c>
      <c r="B56" t="s">
        <v>40</v>
      </c>
      <c r="C56">
        <v>115209348.881999</v>
      </c>
      <c r="D56">
        <v>115.20934888199901</v>
      </c>
    </row>
    <row r="57" spans="1:4" x14ac:dyDescent="0.3">
      <c r="A57">
        <v>8</v>
      </c>
      <c r="B57" t="s">
        <v>41</v>
      </c>
      <c r="C57">
        <v>43782286417.900002</v>
      </c>
      <c r="D57">
        <v>43782.286417900003</v>
      </c>
    </row>
    <row r="58" spans="1:4" x14ac:dyDescent="0.3">
      <c r="A58">
        <v>9</v>
      </c>
      <c r="B58" t="s">
        <v>42</v>
      </c>
      <c r="C58">
        <v>128898459397</v>
      </c>
      <c r="D58">
        <v>128898.459397</v>
      </c>
    </row>
    <row r="59" spans="1:4" x14ac:dyDescent="0.3">
      <c r="A59">
        <v>10</v>
      </c>
      <c r="B59" t="s">
        <v>43</v>
      </c>
      <c r="C59">
        <v>4722903812.1300001</v>
      </c>
      <c r="D59">
        <v>4722.90381213</v>
      </c>
    </row>
    <row r="60" spans="1:4" x14ac:dyDescent="0.3">
      <c r="A60">
        <v>11</v>
      </c>
      <c r="B60" t="s">
        <v>44</v>
      </c>
      <c r="C60">
        <v>105194142.737</v>
      </c>
      <c r="D60">
        <v>105.19414273700001</v>
      </c>
    </row>
    <row r="61" spans="1:4" x14ac:dyDescent="0.3">
      <c r="A61">
        <v>12</v>
      </c>
      <c r="B61" t="s">
        <v>45</v>
      </c>
      <c r="C61">
        <v>422228242.29799902</v>
      </c>
      <c r="D61">
        <v>422.22824229799903</v>
      </c>
    </row>
    <row r="62" spans="1:4" x14ac:dyDescent="0.3">
      <c r="A62">
        <v>13</v>
      </c>
      <c r="B62" t="s">
        <v>46</v>
      </c>
      <c r="C62">
        <v>33279107431.2999</v>
      </c>
      <c r="D62">
        <v>33279.107431299897</v>
      </c>
    </row>
    <row r="63" spans="1:4" x14ac:dyDescent="0.3">
      <c r="A63">
        <v>14</v>
      </c>
      <c r="B63" t="s">
        <v>47</v>
      </c>
      <c r="C63">
        <v>25748094914.200001</v>
      </c>
      <c r="D63">
        <v>25748.094914199999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AFA0-62AA-4DEF-B243-D0B2BD7584B4}">
  <dimension ref="A1:H16"/>
  <sheetViews>
    <sheetView workbookViewId="0">
      <selection activeCell="G18" sqref="G18"/>
    </sheetView>
  </sheetViews>
  <sheetFormatPr defaultRowHeight="14.4" x14ac:dyDescent="0.3"/>
  <cols>
    <col min="1" max="1" width="16.5546875" bestFit="1" customWidth="1"/>
    <col min="2" max="2" width="15.44140625" customWidth="1"/>
    <col min="3" max="3" width="13.6640625" customWidth="1"/>
    <col min="4" max="4" width="14" bestFit="1" customWidth="1"/>
    <col min="5" max="5" width="18.109375" bestFit="1" customWidth="1"/>
    <col min="6" max="6" width="17.44140625" bestFit="1" customWidth="1"/>
    <col min="7" max="7" width="12.33203125" bestFit="1" customWidth="1"/>
    <col min="9" max="9" width="16.5546875" bestFit="1" customWidth="1"/>
    <col min="11" max="11" width="12" bestFit="1" customWidth="1"/>
    <col min="12" max="12" width="14" bestFit="1" customWidth="1"/>
    <col min="13" max="13" width="18.109375" bestFit="1" customWidth="1"/>
  </cols>
  <sheetData>
    <row r="1" spans="1:8" x14ac:dyDescent="0.3">
      <c r="A1" t="s">
        <v>56</v>
      </c>
      <c r="B1" t="s">
        <v>2</v>
      </c>
      <c r="C1" t="s">
        <v>57</v>
      </c>
      <c r="D1" t="s">
        <v>58</v>
      </c>
      <c r="E1" t="s">
        <v>59</v>
      </c>
      <c r="F1" t="s">
        <v>60</v>
      </c>
    </row>
    <row r="2" spans="1:8" x14ac:dyDescent="0.3">
      <c r="A2" t="s">
        <v>49</v>
      </c>
      <c r="B2" t="s">
        <v>6</v>
      </c>
      <c r="C2">
        <v>1963348270.28</v>
      </c>
      <c r="D2">
        <v>2276789293</v>
      </c>
      <c r="E2" cm="1">
        <f t="array" ref="E2:E15">(D2:D15-C2:C15)/1000000</f>
        <v>313.44102272000003</v>
      </c>
      <c r="F2" s="2">
        <f>SUM(E2:E3)</f>
        <v>460.98332562000013</v>
      </c>
      <c r="G2" s="1" t="s">
        <v>31</v>
      </c>
    </row>
    <row r="3" spans="1:8" x14ac:dyDescent="0.3">
      <c r="A3" t="s">
        <v>49</v>
      </c>
      <c r="B3" t="s">
        <v>5</v>
      </c>
      <c r="C3">
        <v>4239294474.0999999</v>
      </c>
      <c r="D3">
        <v>4386836777</v>
      </c>
      <c r="E3">
        <v>147.5423029000001</v>
      </c>
      <c r="F3" s="2"/>
    </row>
    <row r="4" spans="1:8" x14ac:dyDescent="0.3">
      <c r="A4" t="s">
        <v>50</v>
      </c>
      <c r="B4" t="s">
        <v>6</v>
      </c>
      <c r="C4">
        <v>36160498744</v>
      </c>
      <c r="D4">
        <v>33036981768</v>
      </c>
      <c r="E4">
        <v>-3123.5169759999999</v>
      </c>
      <c r="F4" s="3">
        <f>SUM(E4:E5)</f>
        <v>-12550.919043000002</v>
      </c>
      <c r="H4" t="s">
        <v>31</v>
      </c>
    </row>
    <row r="5" spans="1:8" x14ac:dyDescent="0.3">
      <c r="A5" t="s">
        <v>50</v>
      </c>
      <c r="B5" t="s">
        <v>5</v>
      </c>
      <c r="C5">
        <v>34183483532</v>
      </c>
      <c r="D5">
        <v>24756081465</v>
      </c>
      <c r="E5">
        <v>-9427.4020670000009</v>
      </c>
      <c r="F5" s="3"/>
    </row>
    <row r="6" spans="1:8" x14ac:dyDescent="0.3">
      <c r="A6" t="s">
        <v>51</v>
      </c>
      <c r="B6" t="s">
        <v>6</v>
      </c>
      <c r="C6">
        <v>60674663.857000001</v>
      </c>
      <c r="D6">
        <v>37584468.899999999</v>
      </c>
      <c r="E6">
        <v>-23.090194957000001</v>
      </c>
      <c r="F6" s="2">
        <f>SUM(E6:E7)</f>
        <v>-51.003350239000007</v>
      </c>
    </row>
    <row r="7" spans="1:8" x14ac:dyDescent="0.3">
      <c r="A7" t="s">
        <v>51</v>
      </c>
      <c r="B7" t="s">
        <v>5</v>
      </c>
      <c r="C7">
        <v>111067031.382</v>
      </c>
      <c r="D7">
        <v>83153876.099999994</v>
      </c>
      <c r="E7">
        <v>-27.913155282000005</v>
      </c>
      <c r="F7" s="2"/>
    </row>
    <row r="8" spans="1:8" x14ac:dyDescent="0.3">
      <c r="A8" t="s">
        <v>52</v>
      </c>
      <c r="B8" t="s">
        <v>6</v>
      </c>
      <c r="C8">
        <v>16432999154</v>
      </c>
      <c r="D8">
        <v>18275969395</v>
      </c>
      <c r="E8">
        <v>1842.970241</v>
      </c>
      <c r="F8" s="3">
        <f>SUM(E8:E9)</f>
        <v>5453.8834409999999</v>
      </c>
    </row>
    <row r="9" spans="1:8" x14ac:dyDescent="0.3">
      <c r="A9" t="s">
        <v>52</v>
      </c>
      <c r="B9" t="s">
        <v>5</v>
      </c>
      <c r="C9">
        <v>150295086800</v>
      </c>
      <c r="D9">
        <v>153906000000</v>
      </c>
      <c r="E9">
        <v>3610.9132</v>
      </c>
      <c r="F9" s="3"/>
    </row>
    <row r="10" spans="1:8" x14ac:dyDescent="0.3">
      <c r="A10" t="s">
        <v>53</v>
      </c>
      <c r="B10" t="s">
        <v>6</v>
      </c>
      <c r="C10">
        <v>2598668789.3299999</v>
      </c>
      <c r="D10">
        <v>3616920502</v>
      </c>
      <c r="E10">
        <v>1018.2517126700001</v>
      </c>
      <c r="F10" s="2">
        <f>SUM(E10:E11)</f>
        <v>3740.7308406000002</v>
      </c>
    </row>
    <row r="11" spans="1:8" x14ac:dyDescent="0.3">
      <c r="A11" t="s">
        <v>53</v>
      </c>
      <c r="B11" t="s">
        <v>5</v>
      </c>
      <c r="C11">
        <v>5679568796.0699997</v>
      </c>
      <c r="D11">
        <v>8402047924</v>
      </c>
      <c r="E11">
        <v>2722.4791279300002</v>
      </c>
      <c r="F11" s="2"/>
    </row>
    <row r="12" spans="1:8" x14ac:dyDescent="0.3">
      <c r="A12" t="s">
        <v>54</v>
      </c>
      <c r="B12" t="s">
        <v>6</v>
      </c>
      <c r="C12">
        <v>114372765.39399999</v>
      </c>
      <c r="D12">
        <v>61211905.799999997</v>
      </c>
      <c r="E12">
        <v>-53.160859593999994</v>
      </c>
      <c r="F12" s="3">
        <f>SUM(E12:E13)</f>
        <v>-204.38558357100001</v>
      </c>
    </row>
    <row r="13" spans="1:8" x14ac:dyDescent="0.3">
      <c r="A13" t="s">
        <v>54</v>
      </c>
      <c r="B13" t="s">
        <v>5</v>
      </c>
      <c r="C13">
        <v>409853230.07700002</v>
      </c>
      <c r="D13">
        <v>258628506.09999999</v>
      </c>
      <c r="E13">
        <v>-151.22472397700002</v>
      </c>
      <c r="F13" s="3"/>
    </row>
    <row r="14" spans="1:8" x14ac:dyDescent="0.3">
      <c r="A14" t="s">
        <v>55</v>
      </c>
      <c r="B14" t="s">
        <v>6</v>
      </c>
      <c r="C14">
        <v>27740426070</v>
      </c>
      <c r="D14">
        <v>29054269173</v>
      </c>
      <c r="E14">
        <v>1313.8431029999999</v>
      </c>
      <c r="F14" s="2">
        <f>SUM(E14:E15)</f>
        <v>3148.0903319999998</v>
      </c>
    </row>
    <row r="15" spans="1:8" x14ac:dyDescent="0.3">
      <c r="A15" t="s">
        <v>55</v>
      </c>
      <c r="B15" t="s">
        <v>5</v>
      </c>
      <c r="C15">
        <v>35252950048</v>
      </c>
      <c r="D15">
        <v>37087197277</v>
      </c>
      <c r="E15">
        <v>1834.2472290000001</v>
      </c>
      <c r="F15" s="2"/>
    </row>
    <row r="16" spans="1:8" x14ac:dyDescent="0.3">
      <c r="C16">
        <f>SUM(C2:C15)</f>
        <v>315242292368.48999</v>
      </c>
      <c r="D16">
        <f>SUM(D2:D15)</f>
        <v>315239672330.90002</v>
      </c>
      <c r="E16" s="4">
        <f>(D16-C16)/1000000</f>
        <v>-2.6200375899658201</v>
      </c>
    </row>
  </sheetData>
  <mergeCells count="7">
    <mergeCell ref="F14:F15"/>
    <mergeCell ref="F2:F3"/>
    <mergeCell ref="F4:F5"/>
    <mergeCell ref="F6:F7"/>
    <mergeCell ref="F8:F9"/>
    <mergeCell ref="F10:F11"/>
    <mergeCell ref="F12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godavari basin</vt:lpstr>
      <vt:lpstr>comparision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 SUNKARA</dc:creator>
  <cp:lastModifiedBy>Srija Sunkara</cp:lastModifiedBy>
  <dcterms:created xsi:type="dcterms:W3CDTF">2015-06-05T18:17:20Z</dcterms:created>
  <dcterms:modified xsi:type="dcterms:W3CDTF">2025-11-13T18:14:26Z</dcterms:modified>
</cp:coreProperties>
</file>