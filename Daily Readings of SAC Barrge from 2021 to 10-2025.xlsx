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1996" i="1"/>
  <c r="K1997" s="1"/>
  <c r="J1996"/>
  <c r="J1997" s="1"/>
  <c r="I1996"/>
  <c r="I1997" s="1"/>
  <c r="G1996"/>
  <c r="G1997" s="1"/>
  <c r="F1996"/>
  <c r="F1997" s="1"/>
  <c r="E1996"/>
  <c r="E1997" s="1"/>
  <c r="H1995"/>
  <c r="H1994"/>
  <c r="H1993"/>
  <c r="H1992"/>
  <c r="H1991"/>
  <c r="H1990"/>
  <c r="H1989"/>
  <c r="H1988"/>
  <c r="H1987"/>
  <c r="H1986"/>
  <c r="H1985"/>
  <c r="H1984"/>
  <c r="H1983"/>
  <c r="H1982"/>
  <c r="H1981"/>
  <c r="H1980"/>
  <c r="H1979"/>
  <c r="H1978"/>
  <c r="H1977"/>
  <c r="H1976"/>
  <c r="H1975"/>
  <c r="H1974"/>
  <c r="H1973"/>
  <c r="H1972"/>
  <c r="H1971"/>
  <c r="H1970"/>
  <c r="H1969"/>
  <c r="H1968"/>
  <c r="H1967"/>
  <c r="H1966"/>
  <c r="H1965"/>
  <c r="H1996" s="1"/>
  <c r="H1997" s="1"/>
  <c r="K1961"/>
  <c r="K1962" s="1"/>
  <c r="J1961"/>
  <c r="J1962" s="1"/>
  <c r="I1961"/>
  <c r="I1962" s="1"/>
  <c r="G1961"/>
  <c r="G1962" s="1"/>
  <c r="F1961"/>
  <c r="F1962" s="1"/>
  <c r="E1961"/>
  <c r="E1962" s="1"/>
  <c r="H1960"/>
  <c r="H1959"/>
  <c r="H1958"/>
  <c r="H1957"/>
  <c r="H1956"/>
  <c r="H1955"/>
  <c r="H1954"/>
  <c r="H1953"/>
  <c r="H1952"/>
  <c r="H1951"/>
  <c r="H1950"/>
  <c r="H1949"/>
  <c r="H1948"/>
  <c r="H1947"/>
  <c r="H1946"/>
  <c r="H1945"/>
  <c r="H1944"/>
  <c r="H1943"/>
  <c r="H1942"/>
  <c r="H1941"/>
  <c r="H1940"/>
  <c r="H1939"/>
  <c r="H1938"/>
  <c r="H1937"/>
  <c r="H1936"/>
  <c r="H1935"/>
  <c r="H1934"/>
  <c r="H1933"/>
  <c r="H1932"/>
  <c r="H1931"/>
  <c r="H1961" s="1"/>
  <c r="H1962" s="1"/>
  <c r="K1927"/>
  <c r="K1928" s="1"/>
  <c r="J1927"/>
  <c r="J1928" s="1"/>
  <c r="I1927"/>
  <c r="I1928" s="1"/>
  <c r="G1927"/>
  <c r="G1928" s="1"/>
  <c r="F1927"/>
  <c r="F1928" s="1"/>
  <c r="E1927"/>
  <c r="E1928" s="1"/>
  <c r="H1926"/>
  <c r="H1925"/>
  <c r="H1924"/>
  <c r="H1923"/>
  <c r="H1922"/>
  <c r="H1921"/>
  <c r="H1920"/>
  <c r="H1919"/>
  <c r="H1918"/>
  <c r="H1917"/>
  <c r="H1916"/>
  <c r="H1915"/>
  <c r="H1914"/>
  <c r="H1913"/>
  <c r="H1912"/>
  <c r="H1911"/>
  <c r="H1910"/>
  <c r="H1909"/>
  <c r="H1908"/>
  <c r="H1907"/>
  <c r="H1906"/>
  <c r="H1905"/>
  <c r="H1904"/>
  <c r="H1903"/>
  <c r="H1902"/>
  <c r="H1901"/>
  <c r="H1900"/>
  <c r="H1899"/>
  <c r="H1898"/>
  <c r="H1897"/>
  <c r="H1896"/>
  <c r="H1927" s="1"/>
  <c r="H1928" s="1"/>
  <c r="I1893"/>
  <c r="E1893"/>
  <c r="K1892"/>
  <c r="K1893" s="1"/>
  <c r="J1892"/>
  <c r="J1893" s="1"/>
  <c r="I1892"/>
  <c r="G1892"/>
  <c r="G1893" s="1"/>
  <c r="F1892"/>
  <c r="F1893" s="1"/>
  <c r="E1892"/>
  <c r="H1891"/>
  <c r="H1890"/>
  <c r="H1889"/>
  <c r="H1888"/>
  <c r="H1887"/>
  <c r="H1886"/>
  <c r="H1885"/>
  <c r="H1884"/>
  <c r="H1883"/>
  <c r="H1882"/>
  <c r="H1881"/>
  <c r="H1880"/>
  <c r="H1879"/>
  <c r="H1878"/>
  <c r="H1877"/>
  <c r="H1876"/>
  <c r="H1875"/>
  <c r="H1874"/>
  <c r="H1873"/>
  <c r="H1872"/>
  <c r="H1871"/>
  <c r="H1870"/>
  <c r="H1869"/>
  <c r="H1868"/>
  <c r="H1867"/>
  <c r="H1866"/>
  <c r="H1865"/>
  <c r="H1864"/>
  <c r="H1863"/>
  <c r="H1862"/>
  <c r="H1861"/>
  <c r="H1892" s="1"/>
  <c r="H1893" s="1"/>
  <c r="J1858"/>
  <c r="F1858"/>
  <c r="K1857"/>
  <c r="K1858" s="1"/>
  <c r="J1857"/>
  <c r="I1857"/>
  <c r="I1858" s="1"/>
  <c r="G1857"/>
  <c r="G1858" s="1"/>
  <c r="F1857"/>
  <c r="E1857"/>
  <c r="E1858" s="1"/>
  <c r="H1856"/>
  <c r="H1855"/>
  <c r="H1854"/>
  <c r="H1853"/>
  <c r="H1852"/>
  <c r="H1851"/>
  <c r="H1850"/>
  <c r="H1849"/>
  <c r="H1848"/>
  <c r="H1847"/>
  <c r="H1846"/>
  <c r="H1845"/>
  <c r="H1844"/>
  <c r="H1843"/>
  <c r="H1842"/>
  <c r="H1841"/>
  <c r="H1840"/>
  <c r="H1839"/>
  <c r="H1838"/>
  <c r="H1837"/>
  <c r="H1836"/>
  <c r="H1835"/>
  <c r="H1834"/>
  <c r="H1833"/>
  <c r="H1832"/>
  <c r="H1831"/>
  <c r="H1830"/>
  <c r="H1829"/>
  <c r="H1828"/>
  <c r="H1827"/>
  <c r="H1857" s="1"/>
  <c r="H1858" s="1"/>
  <c r="J1824"/>
  <c r="F1824"/>
  <c r="K1823"/>
  <c r="K1824" s="1"/>
  <c r="J1823"/>
  <c r="I1823"/>
  <c r="I1824" s="1"/>
  <c r="G1823"/>
  <c r="G1824" s="1"/>
  <c r="F1823"/>
  <c r="E1823"/>
  <c r="E1824" s="1"/>
  <c r="H1822"/>
  <c r="H1821"/>
  <c r="H1820"/>
  <c r="H1819"/>
  <c r="H1818"/>
  <c r="H1817"/>
  <c r="H1816"/>
  <c r="H1815"/>
  <c r="H1813"/>
  <c r="H1812"/>
  <c r="H1811"/>
  <c r="H1810"/>
  <c r="H1809"/>
  <c r="H1808"/>
  <c r="H1807"/>
  <c r="H1806"/>
  <c r="H1805"/>
  <c r="H1804"/>
  <c r="H1803"/>
  <c r="H1802"/>
  <c r="H1801"/>
  <c r="H1800"/>
  <c r="H1799"/>
  <c r="H1798"/>
  <c r="H1797"/>
  <c r="H1796"/>
  <c r="H1795"/>
  <c r="H1794"/>
  <c r="H1793"/>
  <c r="H1792"/>
  <c r="H1823" s="1"/>
  <c r="H1824" s="1"/>
  <c r="J1789"/>
  <c r="K1788"/>
  <c r="K1789" s="1"/>
  <c r="J1788"/>
  <c r="I1788"/>
  <c r="I1789" s="1"/>
  <c r="G1788"/>
  <c r="G1789" s="1"/>
  <c r="F1788"/>
  <c r="F1789" s="1"/>
  <c r="E1788"/>
  <c r="E1789" s="1"/>
  <c r="H1787"/>
  <c r="H1786"/>
  <c r="H1785"/>
  <c r="H1784"/>
  <c r="H1783"/>
  <c r="H1782"/>
  <c r="H1781"/>
  <c r="H1780"/>
  <c r="H1779"/>
  <c r="H1778"/>
  <c r="H1777"/>
  <c r="H1776"/>
  <c r="H1775"/>
  <c r="H1774"/>
  <c r="H1773"/>
  <c r="H1772"/>
  <c r="H1771"/>
  <c r="H1770"/>
  <c r="H1769"/>
  <c r="H1768"/>
  <c r="H1767"/>
  <c r="H1766"/>
  <c r="H1765"/>
  <c r="H1764"/>
  <c r="H1763"/>
  <c r="H1762"/>
  <c r="H1761"/>
  <c r="H1760"/>
  <c r="H1759"/>
  <c r="H1758"/>
  <c r="H1788" s="1"/>
  <c r="H1789" s="1"/>
  <c r="K1754"/>
  <c r="K1755" s="1"/>
  <c r="J1754"/>
  <c r="J1755" s="1"/>
  <c r="I1754"/>
  <c r="I1755" s="1"/>
  <c r="G1754"/>
  <c r="G1755" s="1"/>
  <c r="F1754"/>
  <c r="F1755" s="1"/>
  <c r="E1754"/>
  <c r="E1755" s="1"/>
  <c r="H1753"/>
  <c r="H1752"/>
  <c r="H1751"/>
  <c r="H1750"/>
  <c r="H1749"/>
  <c r="H1748"/>
  <c r="H1747"/>
  <c r="H1746"/>
  <c r="H1745"/>
  <c r="H1744"/>
  <c r="H1743"/>
  <c r="H1742"/>
  <c r="H1741"/>
  <c r="H1740"/>
  <c r="H1739"/>
  <c r="H1738"/>
  <c r="H1737"/>
  <c r="H1736"/>
  <c r="H1735"/>
  <c r="H1734"/>
  <c r="H1733"/>
  <c r="H1732"/>
  <c r="H1731"/>
  <c r="H1730"/>
  <c r="H1729"/>
  <c r="H1728"/>
  <c r="H1727"/>
  <c r="H1726"/>
  <c r="H1725"/>
  <c r="H1724"/>
  <c r="H1723"/>
  <c r="H1754" s="1"/>
  <c r="H1755" s="1"/>
  <c r="I1720"/>
  <c r="E1720"/>
  <c r="K1719"/>
  <c r="K1720" s="1"/>
  <c r="J1719"/>
  <c r="J1720" s="1"/>
  <c r="I1719"/>
  <c r="G1719"/>
  <c r="G1720" s="1"/>
  <c r="F1719"/>
  <c r="F1720" s="1"/>
  <c r="E1719"/>
  <c r="H1718"/>
  <c r="H1717"/>
  <c r="H1716"/>
  <c r="H1715"/>
  <c r="H1714"/>
  <c r="H1713"/>
  <c r="H1712"/>
  <c r="H1711"/>
  <c r="H1710"/>
  <c r="H1709"/>
  <c r="H1708"/>
  <c r="H1707"/>
  <c r="H1706"/>
  <c r="H1705"/>
  <c r="H1704"/>
  <c r="H1703"/>
  <c r="H1702"/>
  <c r="H1701"/>
  <c r="H1700"/>
  <c r="H1699"/>
  <c r="H1698"/>
  <c r="H1697"/>
  <c r="H1696"/>
  <c r="H1695"/>
  <c r="H1694"/>
  <c r="H1693"/>
  <c r="H1692"/>
  <c r="H1691"/>
  <c r="H1719" s="1"/>
  <c r="H1720" s="1"/>
  <c r="K1688"/>
  <c r="G1688"/>
  <c r="K1687"/>
  <c r="J1687"/>
  <c r="J1688" s="1"/>
  <c r="I1687"/>
  <c r="I1688" s="1"/>
  <c r="G1687"/>
  <c r="F1687"/>
  <c r="F1688" s="1"/>
  <c r="E1687"/>
  <c r="E1688" s="1"/>
  <c r="H1686"/>
  <c r="H1685"/>
  <c r="H1684"/>
  <c r="H1683"/>
  <c r="H1682"/>
  <c r="H1681"/>
  <c r="H1680"/>
  <c r="H1679"/>
  <c r="H1678"/>
  <c r="H1677"/>
  <c r="H1676"/>
  <c r="H1675"/>
  <c r="H1674"/>
  <c r="H1673"/>
  <c r="H1672"/>
  <c r="H1671"/>
  <c r="H1670"/>
  <c r="H1669"/>
  <c r="H1668"/>
  <c r="H1667"/>
  <c r="H1666"/>
  <c r="H1665"/>
  <c r="H1664"/>
  <c r="H1663"/>
  <c r="H1662"/>
  <c r="H1661"/>
  <c r="H1660"/>
  <c r="H1659"/>
  <c r="H1658"/>
  <c r="H1657"/>
  <c r="H1656"/>
  <c r="H1687" s="1"/>
  <c r="H1688" s="1"/>
  <c r="K1652"/>
  <c r="K1653" s="1"/>
  <c r="J1652"/>
  <c r="J1653" s="1"/>
  <c r="I1652"/>
  <c r="I1653" s="1"/>
  <c r="G1652"/>
  <c r="G1653" s="1"/>
  <c r="F1652"/>
  <c r="F1653" s="1"/>
  <c r="E1652"/>
  <c r="E1653" s="1"/>
  <c r="H1651"/>
  <c r="H1650"/>
  <c r="H1649"/>
  <c r="H1648"/>
  <c r="H1647"/>
  <c r="H1646"/>
  <c r="H1645"/>
  <c r="H1644"/>
  <c r="H1643"/>
  <c r="H1642"/>
  <c r="H1641"/>
  <c r="H1640"/>
  <c r="H1639"/>
  <c r="H1638"/>
  <c r="H1637"/>
  <c r="H1636"/>
  <c r="H1635"/>
  <c r="H1634"/>
  <c r="H1633"/>
  <c r="H1632"/>
  <c r="H1631"/>
  <c r="H1630"/>
  <c r="H1629"/>
  <c r="H1628"/>
  <c r="H1627"/>
  <c r="H1626"/>
  <c r="H1625"/>
  <c r="H1624"/>
  <c r="H1623"/>
  <c r="H1622"/>
  <c r="H1621"/>
  <c r="H1652" s="1"/>
  <c r="H1653" s="1"/>
  <c r="I1618"/>
  <c r="E1618"/>
  <c r="K1617"/>
  <c r="K1618" s="1"/>
  <c r="J1617"/>
  <c r="J1618" s="1"/>
  <c r="I1617"/>
  <c r="G1617"/>
  <c r="G1618" s="1"/>
  <c r="F1617"/>
  <c r="F1618" s="1"/>
  <c r="E1617"/>
  <c r="H1616"/>
  <c r="H1615"/>
  <c r="H1614"/>
  <c r="H1613"/>
  <c r="H1612"/>
  <c r="H1611"/>
  <c r="H1610"/>
  <c r="H1609"/>
  <c r="H1608"/>
  <c r="H1607"/>
  <c r="H1606"/>
  <c r="H1605"/>
  <c r="H1604"/>
  <c r="H1603"/>
  <c r="H1602"/>
  <c r="H1601"/>
  <c r="H1600"/>
  <c r="H1599"/>
  <c r="H1598"/>
  <c r="H1597"/>
  <c r="H1596"/>
  <c r="H1595"/>
  <c r="H1594"/>
  <c r="H1593"/>
  <c r="H1592"/>
  <c r="H1591"/>
  <c r="H1590"/>
  <c r="H1589"/>
  <c r="H1588"/>
  <c r="H1587"/>
  <c r="H1617" s="1"/>
  <c r="H1618" s="1"/>
  <c r="I1584"/>
  <c r="E1584"/>
  <c r="K1583"/>
  <c r="K1584" s="1"/>
  <c r="J1583"/>
  <c r="J1584" s="1"/>
  <c r="I1583"/>
  <c r="G1583"/>
  <c r="G1584" s="1"/>
  <c r="F1583"/>
  <c r="F1584" s="1"/>
  <c r="E1583"/>
  <c r="H1582"/>
  <c r="H1581"/>
  <c r="H1580"/>
  <c r="H1579"/>
  <c r="H1578"/>
  <c r="H1577"/>
  <c r="H1576"/>
  <c r="H1575"/>
  <c r="H1574"/>
  <c r="H1573"/>
  <c r="H1572"/>
  <c r="H1571"/>
  <c r="H1570"/>
  <c r="H1569"/>
  <c r="H1568"/>
  <c r="H1567"/>
  <c r="H1566"/>
  <c r="H1565"/>
  <c r="H1564"/>
  <c r="H1563"/>
  <c r="H1562"/>
  <c r="H1561"/>
  <c r="H1560"/>
  <c r="H1559"/>
  <c r="H1558"/>
  <c r="H1557"/>
  <c r="H1556"/>
  <c r="H1555"/>
  <c r="H1554"/>
  <c r="H1553"/>
  <c r="H1552"/>
  <c r="H1583" s="1"/>
  <c r="H1584" s="1"/>
  <c r="J1549"/>
  <c r="F1549"/>
  <c r="K1548"/>
  <c r="K1549" s="1"/>
  <c r="J1548"/>
  <c r="I1548"/>
  <c r="I1549" s="1"/>
  <c r="G1548"/>
  <c r="G1549" s="1"/>
  <c r="F1548"/>
  <c r="E1548"/>
  <c r="E1549" s="1"/>
  <c r="H1547"/>
  <c r="H1546"/>
  <c r="H1545"/>
  <c r="H1544"/>
  <c r="H1543"/>
  <c r="H1542"/>
  <c r="H1541"/>
  <c r="H1540"/>
  <c r="H1539"/>
  <c r="H1538"/>
  <c r="H1537"/>
  <c r="H1536"/>
  <c r="H1535"/>
  <c r="H1534"/>
  <c r="H1533"/>
  <c r="H1532"/>
  <c r="H1531"/>
  <c r="H1530"/>
  <c r="H1529"/>
  <c r="H1528"/>
  <c r="H1527"/>
  <c r="H1526"/>
  <c r="H1525"/>
  <c r="H1524"/>
  <c r="H1523"/>
  <c r="H1522"/>
  <c r="H1521"/>
  <c r="H1520"/>
  <c r="H1519"/>
  <c r="H1518"/>
  <c r="H1548" s="1"/>
  <c r="H1549" s="1"/>
  <c r="J1515"/>
  <c r="F1515"/>
  <c r="K1514"/>
  <c r="K1515" s="1"/>
  <c r="J1514"/>
  <c r="I1514"/>
  <c r="I1515" s="1"/>
  <c r="G1514"/>
  <c r="G1515" s="1"/>
  <c r="F1514"/>
  <c r="E1514"/>
  <c r="E1515" s="1"/>
  <c r="H1513"/>
  <c r="H1512"/>
  <c r="H1511"/>
  <c r="H1510"/>
  <c r="H1509"/>
  <c r="H1508"/>
  <c r="H1507"/>
  <c r="H1506"/>
  <c r="H1505"/>
  <c r="H1504"/>
  <c r="H1503"/>
  <c r="H1502"/>
  <c r="H1501"/>
  <c r="H1500"/>
  <c r="H1499"/>
  <c r="H1498"/>
  <c r="H1497"/>
  <c r="H1496"/>
  <c r="H1495"/>
  <c r="H1494"/>
  <c r="H1493"/>
  <c r="H1492"/>
  <c r="H1491"/>
  <c r="H1490"/>
  <c r="H1489"/>
  <c r="H1488"/>
  <c r="H1487"/>
  <c r="H1486"/>
  <c r="H1485"/>
  <c r="H1484"/>
  <c r="H1483"/>
  <c r="H1514" s="1"/>
  <c r="H1515" s="1"/>
  <c r="K1480"/>
  <c r="K1479"/>
  <c r="J1479"/>
  <c r="J1480" s="1"/>
  <c r="I1479"/>
  <c r="I1480" s="1"/>
  <c r="G1479"/>
  <c r="G1480" s="1"/>
  <c r="F1479"/>
  <c r="F1480" s="1"/>
  <c r="E1479"/>
  <c r="E1480" s="1"/>
  <c r="H1478"/>
  <c r="H1477"/>
  <c r="H1476"/>
  <c r="H1475"/>
  <c r="H1474"/>
  <c r="H1473"/>
  <c r="H1472"/>
  <c r="H1471"/>
  <c r="H1470"/>
  <c r="H1469"/>
  <c r="H1468"/>
  <c r="H1467"/>
  <c r="H1466"/>
  <c r="H1465"/>
  <c r="H1464"/>
  <c r="H1463"/>
  <c r="H1462"/>
  <c r="H1461"/>
  <c r="H1460"/>
  <c r="H1459"/>
  <c r="H1458"/>
  <c r="H1457"/>
  <c r="H1456"/>
  <c r="H1455"/>
  <c r="H1454"/>
  <c r="H1453"/>
  <c r="H1452"/>
  <c r="H1451"/>
  <c r="H1450"/>
  <c r="H1449"/>
  <c r="H1448"/>
  <c r="H1479" s="1"/>
  <c r="H1480" s="1"/>
  <c r="I1445"/>
  <c r="E1445"/>
  <c r="K1444"/>
  <c r="K1445" s="1"/>
  <c r="J1444"/>
  <c r="J1445" s="1"/>
  <c r="I1444"/>
  <c r="G1444"/>
  <c r="G1445" s="1"/>
  <c r="F1444"/>
  <c r="F1445" s="1"/>
  <c r="E1444"/>
  <c r="H1443"/>
  <c r="H1442"/>
  <c r="H1441"/>
  <c r="H1440"/>
  <c r="H1439"/>
  <c r="H1438"/>
  <c r="H1437"/>
  <c r="H1436"/>
  <c r="H1435"/>
  <c r="H1434"/>
  <c r="H1433"/>
  <c r="H1432"/>
  <c r="H1431"/>
  <c r="H1430"/>
  <c r="H1429"/>
  <c r="H1428"/>
  <c r="H1427"/>
  <c r="H1426"/>
  <c r="H1425"/>
  <c r="H1424"/>
  <c r="H1423"/>
  <c r="H1422"/>
  <c r="H1421"/>
  <c r="H1420"/>
  <c r="H1419"/>
  <c r="H1418"/>
  <c r="H1417"/>
  <c r="H1416"/>
  <c r="H1415"/>
  <c r="H1414"/>
  <c r="H1444" s="1"/>
  <c r="H1445" s="1"/>
  <c r="I1411"/>
  <c r="K1410"/>
  <c r="K1411" s="1"/>
  <c r="J1410"/>
  <c r="J1411" s="1"/>
  <c r="I1410"/>
  <c r="G1410"/>
  <c r="G1411" s="1"/>
  <c r="F1410"/>
  <c r="F1411" s="1"/>
  <c r="E1410"/>
  <c r="E1411" s="1"/>
  <c r="H1408"/>
  <c r="H1407"/>
  <c r="H1406"/>
  <c r="H1405"/>
  <c r="H1404"/>
  <c r="H1403"/>
  <c r="H1402"/>
  <c r="H1401"/>
  <c r="H1400"/>
  <c r="H1399"/>
  <c r="H1398"/>
  <c r="H1397"/>
  <c r="H1396"/>
  <c r="H1395"/>
  <c r="H1394"/>
  <c r="H1393"/>
  <c r="H1392"/>
  <c r="H1391"/>
  <c r="H1390"/>
  <c r="H1389"/>
  <c r="H1388"/>
  <c r="H1387"/>
  <c r="H1386"/>
  <c r="H1385"/>
  <c r="H1384"/>
  <c r="H1383"/>
  <c r="H1382"/>
  <c r="H1381"/>
  <c r="H1380"/>
  <c r="H1379"/>
  <c r="H1410" s="1"/>
  <c r="H1411" s="1"/>
  <c r="K1375"/>
  <c r="K1376" s="1"/>
  <c r="J1375"/>
  <c r="J1376" s="1"/>
  <c r="I1375"/>
  <c r="I1376" s="1"/>
  <c r="G1375"/>
  <c r="G1376" s="1"/>
  <c r="F1375"/>
  <c r="F1376" s="1"/>
  <c r="E1375"/>
  <c r="E1376" s="1"/>
  <c r="H1374"/>
  <c r="H1373"/>
  <c r="H1372"/>
  <c r="H1371"/>
  <c r="H1370"/>
  <c r="H1369"/>
  <c r="H1368"/>
  <c r="H1367"/>
  <c r="H1366"/>
  <c r="H1365"/>
  <c r="H1364"/>
  <c r="H1363"/>
  <c r="H1362"/>
  <c r="H1361"/>
  <c r="H1360"/>
  <c r="H1359"/>
  <c r="H1358"/>
  <c r="H1357"/>
  <c r="H1356"/>
  <c r="H1355"/>
  <c r="H1354"/>
  <c r="H1353"/>
  <c r="H1352"/>
  <c r="H1351"/>
  <c r="H1350"/>
  <c r="H1349"/>
  <c r="H1348"/>
  <c r="H1347"/>
  <c r="H1346"/>
  <c r="H1345"/>
  <c r="H1375" s="1"/>
  <c r="H1376" s="1"/>
  <c r="K1341"/>
  <c r="K1342" s="1"/>
  <c r="J1341"/>
  <c r="J1342" s="1"/>
  <c r="I1341"/>
  <c r="I1342" s="1"/>
  <c r="G1341"/>
  <c r="G1342" s="1"/>
  <c r="F1341"/>
  <c r="F1342" s="1"/>
  <c r="E1341"/>
  <c r="E1342" s="1"/>
  <c r="H1340"/>
  <c r="H1339"/>
  <c r="H1338"/>
  <c r="H1337"/>
  <c r="H1336"/>
  <c r="H1335"/>
  <c r="H1334"/>
  <c r="H1333"/>
  <c r="H1332"/>
  <c r="H1331"/>
  <c r="H1330"/>
  <c r="H1329"/>
  <c r="H1328"/>
  <c r="H1327"/>
  <c r="H1326"/>
  <c r="H1325"/>
  <c r="H1324"/>
  <c r="H1323"/>
  <c r="H1322"/>
  <c r="H1321"/>
  <c r="H1320"/>
  <c r="H1319"/>
  <c r="H1318"/>
  <c r="H1317"/>
  <c r="H1316"/>
  <c r="H1315"/>
  <c r="H1314"/>
  <c r="H1313"/>
  <c r="H1312"/>
  <c r="H1311"/>
  <c r="H1310"/>
  <c r="H1341" s="1"/>
  <c r="H1342" s="1"/>
  <c r="I1307"/>
  <c r="E1307"/>
  <c r="K1306"/>
  <c r="K1307" s="1"/>
  <c r="J1306"/>
  <c r="J1307" s="1"/>
  <c r="I1306"/>
  <c r="G1306"/>
  <c r="G1307" s="1"/>
  <c r="F1306"/>
  <c r="F1307" s="1"/>
  <c r="E1306"/>
  <c r="H1305"/>
  <c r="H1304"/>
  <c r="H1303"/>
  <c r="H1302"/>
  <c r="H1301"/>
  <c r="H1300"/>
  <c r="H1299"/>
  <c r="H1298"/>
  <c r="H1297"/>
  <c r="H1296"/>
  <c r="H1295"/>
  <c r="H1294"/>
  <c r="H1293"/>
  <c r="H1292"/>
  <c r="H1291"/>
  <c r="H1290"/>
  <c r="H1289"/>
  <c r="H1288"/>
  <c r="H1287"/>
  <c r="H1286"/>
  <c r="H1285"/>
  <c r="H1284"/>
  <c r="H1283"/>
  <c r="H1282"/>
  <c r="H1281"/>
  <c r="H1280"/>
  <c r="H1279"/>
  <c r="H1278"/>
  <c r="H1277"/>
  <c r="H1306" s="1"/>
  <c r="H1307" s="1"/>
  <c r="K1273"/>
  <c r="K1274" s="1"/>
  <c r="J1273"/>
  <c r="J1274" s="1"/>
  <c r="I1273"/>
  <c r="I1274" s="1"/>
  <c r="G1273"/>
  <c r="G1274" s="1"/>
  <c r="F1273"/>
  <c r="F1274" s="1"/>
  <c r="E1273"/>
  <c r="E1274" s="1"/>
  <c r="H1272"/>
  <c r="H1271"/>
  <c r="H1270"/>
  <c r="H1269"/>
  <c r="H1268"/>
  <c r="H1267"/>
  <c r="H1266"/>
  <c r="H1265"/>
  <c r="H1264"/>
  <c r="H1263"/>
  <c r="H1262"/>
  <c r="H1261"/>
  <c r="H1260"/>
  <c r="H1259"/>
  <c r="H1258"/>
  <c r="H1257"/>
  <c r="H1256"/>
  <c r="H1255"/>
  <c r="H1254"/>
  <c r="H1253"/>
  <c r="H1252"/>
  <c r="H1251"/>
  <c r="H1250"/>
  <c r="H1249"/>
  <c r="H1248"/>
  <c r="H1247"/>
  <c r="H1246"/>
  <c r="H1245"/>
  <c r="H1244"/>
  <c r="H1243"/>
  <c r="H1242"/>
  <c r="H1273" s="1"/>
  <c r="H1274" s="1"/>
  <c r="I1239"/>
  <c r="E1239"/>
  <c r="K1238"/>
  <c r="K1239" s="1"/>
  <c r="J1238"/>
  <c r="J1239" s="1"/>
  <c r="I1238"/>
  <c r="G1238"/>
  <c r="G1239" s="1"/>
  <c r="F1238"/>
  <c r="F1239" s="1"/>
  <c r="E1238"/>
  <c r="H1237"/>
  <c r="H1236"/>
  <c r="H1235"/>
  <c r="H1234"/>
  <c r="H1233"/>
  <c r="H1232"/>
  <c r="H1231"/>
  <c r="H1230"/>
  <c r="H1229"/>
  <c r="H1228"/>
  <c r="H1227"/>
  <c r="H1226"/>
  <c r="H1225"/>
  <c r="H1224"/>
  <c r="H1223"/>
  <c r="H1222"/>
  <c r="H1221"/>
  <c r="H1220"/>
  <c r="H1219"/>
  <c r="H1218"/>
  <c r="H1217"/>
  <c r="H1216"/>
  <c r="H1215"/>
  <c r="H1214"/>
  <c r="H1213"/>
  <c r="H1212"/>
  <c r="H1211"/>
  <c r="H1210"/>
  <c r="H1209"/>
  <c r="H1208"/>
  <c r="H1207"/>
  <c r="H1238" s="1"/>
  <c r="H1239" s="1"/>
  <c r="J1204"/>
  <c r="F1204"/>
  <c r="K1203"/>
  <c r="K1204" s="1"/>
  <c r="J1203"/>
  <c r="I1203"/>
  <c r="I1204" s="1"/>
  <c r="G1203"/>
  <c r="G1204" s="1"/>
  <c r="F1203"/>
  <c r="E1203"/>
  <c r="E1204" s="1"/>
  <c r="H1202"/>
  <c r="H1201"/>
  <c r="H1200"/>
  <c r="H1199"/>
  <c r="H1198"/>
  <c r="H1197"/>
  <c r="H1196"/>
  <c r="H1195"/>
  <c r="H1194"/>
  <c r="H1193"/>
  <c r="H1192"/>
  <c r="H1191"/>
  <c r="H1190"/>
  <c r="H1189"/>
  <c r="H1188"/>
  <c r="H1187"/>
  <c r="H1186"/>
  <c r="H1185"/>
  <c r="H1184"/>
  <c r="H1183"/>
  <c r="H1182"/>
  <c r="H1181"/>
  <c r="H1180"/>
  <c r="H1179"/>
  <c r="H1178"/>
  <c r="H1177"/>
  <c r="H1176"/>
  <c r="H1175"/>
  <c r="H1174"/>
  <c r="H1173"/>
  <c r="H1203" s="1"/>
  <c r="H1204" s="1"/>
  <c r="J1170"/>
  <c r="F1170"/>
  <c r="K1169"/>
  <c r="K1170" s="1"/>
  <c r="J1169"/>
  <c r="I1169"/>
  <c r="I1170" s="1"/>
  <c r="G1169"/>
  <c r="G1170" s="1"/>
  <c r="F1169"/>
  <c r="E1169"/>
  <c r="E1170" s="1"/>
  <c r="H1168"/>
  <c r="H1167"/>
  <c r="H1166"/>
  <c r="H1165"/>
  <c r="H1164"/>
  <c r="H1163"/>
  <c r="H1162"/>
  <c r="H1161"/>
  <c r="H1160"/>
  <c r="H1159"/>
  <c r="H1158"/>
  <c r="H1157"/>
  <c r="H1156"/>
  <c r="H1155"/>
  <c r="H1154"/>
  <c r="H1153"/>
  <c r="H1152"/>
  <c r="H1151"/>
  <c r="H1150"/>
  <c r="H1149"/>
  <c r="H1148"/>
  <c r="H1147"/>
  <c r="H1146"/>
  <c r="H1145"/>
  <c r="H1144"/>
  <c r="H1143"/>
  <c r="H1142"/>
  <c r="H1141"/>
  <c r="H1140"/>
  <c r="H1139"/>
  <c r="H1138"/>
  <c r="H1169" s="1"/>
  <c r="H1170" s="1"/>
  <c r="K1135"/>
  <c r="K1134"/>
  <c r="J1134"/>
  <c r="J1135" s="1"/>
  <c r="I1134"/>
  <c r="I1135" s="1"/>
  <c r="G1134"/>
  <c r="G1135" s="1"/>
  <c r="F1134"/>
  <c r="F1135" s="1"/>
  <c r="E1134"/>
  <c r="E1135" s="1"/>
  <c r="H1133"/>
  <c r="H1132"/>
  <c r="H1131"/>
  <c r="H1130"/>
  <c r="H1129"/>
  <c r="H1128"/>
  <c r="H1127"/>
  <c r="H1126"/>
  <c r="H1125"/>
  <c r="H1124"/>
  <c r="H1123"/>
  <c r="H1122"/>
  <c r="H1121"/>
  <c r="H1120"/>
  <c r="H1119"/>
  <c r="H1118"/>
  <c r="H1117"/>
  <c r="H1116"/>
  <c r="H1115"/>
  <c r="H1114"/>
  <c r="H1113"/>
  <c r="H1112"/>
  <c r="H1111"/>
  <c r="H1110"/>
  <c r="H1109"/>
  <c r="H1108"/>
  <c r="H1107"/>
  <c r="H1106"/>
  <c r="H1105"/>
  <c r="H1104"/>
  <c r="H1134" s="1"/>
  <c r="H1135" s="1"/>
  <c r="K1100"/>
  <c r="K1101" s="1"/>
  <c r="J1100"/>
  <c r="J1101" s="1"/>
  <c r="I1100"/>
  <c r="I1101" s="1"/>
  <c r="G1100"/>
  <c r="G1101" s="1"/>
  <c r="F1100"/>
  <c r="F1101" s="1"/>
  <c r="E1100"/>
  <c r="E1101" s="1"/>
  <c r="H1099"/>
  <c r="H1098"/>
  <c r="H1097"/>
  <c r="H1096"/>
  <c r="H1095"/>
  <c r="H1094"/>
  <c r="H1093"/>
  <c r="H1092"/>
  <c r="H1091"/>
  <c r="H1090"/>
  <c r="H1089"/>
  <c r="H1088"/>
  <c r="H1087"/>
  <c r="H1086"/>
  <c r="H1085"/>
  <c r="H1084"/>
  <c r="H1083"/>
  <c r="H1082"/>
  <c r="H1081"/>
  <c r="H1080"/>
  <c r="H1079"/>
  <c r="H1078"/>
  <c r="H1077"/>
  <c r="H1076"/>
  <c r="H1075"/>
  <c r="H1074"/>
  <c r="H1073"/>
  <c r="H1072"/>
  <c r="H1071"/>
  <c r="H1070"/>
  <c r="H1069"/>
  <c r="H1100" s="1"/>
  <c r="H1101" s="1"/>
  <c r="I1066"/>
  <c r="E1066"/>
  <c r="K1065"/>
  <c r="K1066" s="1"/>
  <c r="J1065"/>
  <c r="J1066" s="1"/>
  <c r="I1065"/>
  <c r="G1065"/>
  <c r="G1066" s="1"/>
  <c r="F1065"/>
  <c r="F1066" s="1"/>
  <c r="E1065"/>
  <c r="H1064"/>
  <c r="H1063"/>
  <c r="H1062"/>
  <c r="H1061"/>
  <c r="H1060"/>
  <c r="H1059"/>
  <c r="H1058"/>
  <c r="H1057"/>
  <c r="H1056"/>
  <c r="H1055"/>
  <c r="H1054"/>
  <c r="H1053"/>
  <c r="H1052"/>
  <c r="H1051"/>
  <c r="H1050"/>
  <c r="H1049"/>
  <c r="H1048"/>
  <c r="H1047"/>
  <c r="H1046"/>
  <c r="H1045"/>
  <c r="H1044"/>
  <c r="H1043"/>
  <c r="H1042"/>
  <c r="H1041"/>
  <c r="H1040"/>
  <c r="H1039"/>
  <c r="H1038"/>
  <c r="H1037"/>
  <c r="H1036"/>
  <c r="H1035"/>
  <c r="H1034"/>
  <c r="H1065" s="1"/>
  <c r="H1066" s="1"/>
  <c r="J1031"/>
  <c r="F1031"/>
  <c r="K1030"/>
  <c r="K1031" s="1"/>
  <c r="J1030"/>
  <c r="I1030"/>
  <c r="I1031" s="1"/>
  <c r="G1030"/>
  <c r="G1031" s="1"/>
  <c r="F1030"/>
  <c r="E1030"/>
  <c r="E1031" s="1"/>
  <c r="H1029"/>
  <c r="H1028"/>
  <c r="H1027"/>
  <c r="H1026"/>
  <c r="H1025"/>
  <c r="H1024"/>
  <c r="H1023"/>
  <c r="H1022"/>
  <c r="H1021"/>
  <c r="H1020"/>
  <c r="H1019"/>
  <c r="H1018"/>
  <c r="H1017"/>
  <c r="H1016"/>
  <c r="H1015"/>
  <c r="H1014"/>
  <c r="H1013"/>
  <c r="H1012"/>
  <c r="H1011"/>
  <c r="H1010"/>
  <c r="H1009"/>
  <c r="H1008"/>
  <c r="H1007"/>
  <c r="H1006"/>
  <c r="H1005"/>
  <c r="H1004"/>
  <c r="H1003"/>
  <c r="H1002"/>
  <c r="H1001"/>
  <c r="H1000"/>
  <c r="H1030" s="1"/>
  <c r="H1031" s="1"/>
  <c r="J997"/>
  <c r="F997"/>
  <c r="K996"/>
  <c r="K997" s="1"/>
  <c r="J996"/>
  <c r="I996"/>
  <c r="I997" s="1"/>
  <c r="G996"/>
  <c r="G997" s="1"/>
  <c r="F996"/>
  <c r="E996"/>
  <c r="E997" s="1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96" s="1"/>
  <c r="H997" s="1"/>
  <c r="K962"/>
  <c r="I962"/>
  <c r="G962"/>
  <c r="E962"/>
  <c r="K961"/>
  <c r="J961"/>
  <c r="J962" s="1"/>
  <c r="I961"/>
  <c r="G961"/>
  <c r="F961"/>
  <c r="F962" s="1"/>
  <c r="E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61" s="1"/>
  <c r="H962" s="1"/>
  <c r="K928"/>
  <c r="G928"/>
  <c r="K927"/>
  <c r="J927"/>
  <c r="J928" s="1"/>
  <c r="I927"/>
  <c r="I928" s="1"/>
  <c r="G927"/>
  <c r="F927"/>
  <c r="F928" s="1"/>
  <c r="E927"/>
  <c r="E928" s="1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927" s="1"/>
  <c r="H928" s="1"/>
  <c r="K892"/>
  <c r="K893" s="1"/>
  <c r="J892"/>
  <c r="J893" s="1"/>
  <c r="I892"/>
  <c r="I893" s="1"/>
  <c r="G892"/>
  <c r="G893" s="1"/>
  <c r="F892"/>
  <c r="F893" s="1"/>
  <c r="E892"/>
  <c r="E893" s="1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92" s="1"/>
  <c r="H893" s="1"/>
  <c r="J861"/>
  <c r="F861"/>
  <c r="K860"/>
  <c r="K861" s="1"/>
  <c r="J860"/>
  <c r="I860"/>
  <c r="I861" s="1"/>
  <c r="G860"/>
  <c r="G861" s="1"/>
  <c r="F860"/>
  <c r="E860"/>
  <c r="E861" s="1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60" s="1"/>
  <c r="H861" s="1"/>
  <c r="K826"/>
  <c r="G826"/>
  <c r="K825"/>
  <c r="J825"/>
  <c r="J826" s="1"/>
  <c r="I825"/>
  <c r="I826" s="1"/>
  <c r="G825"/>
  <c r="F825"/>
  <c r="F826" s="1"/>
  <c r="E825"/>
  <c r="E826" s="1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825" s="1"/>
  <c r="H826" s="1"/>
  <c r="K790"/>
  <c r="K791" s="1"/>
  <c r="J790"/>
  <c r="J791" s="1"/>
  <c r="I790"/>
  <c r="I791" s="1"/>
  <c r="G790"/>
  <c r="G791" s="1"/>
  <c r="F790"/>
  <c r="F791" s="1"/>
  <c r="E790"/>
  <c r="E791" s="1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90" s="1"/>
  <c r="H791" s="1"/>
  <c r="K756"/>
  <c r="K757" s="1"/>
  <c r="J756"/>
  <c r="J757" s="1"/>
  <c r="I756"/>
  <c r="I757" s="1"/>
  <c r="G756"/>
  <c r="G757" s="1"/>
  <c r="F756"/>
  <c r="F757" s="1"/>
  <c r="E756"/>
  <c r="E757" s="1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56" s="1"/>
  <c r="H757" s="1"/>
  <c r="H725"/>
  <c r="I722"/>
  <c r="E722"/>
  <c r="K721"/>
  <c r="K722" s="1"/>
  <c r="J721"/>
  <c r="J722" s="1"/>
  <c r="I721"/>
  <c r="G721"/>
  <c r="G722" s="1"/>
  <c r="F721"/>
  <c r="F722" s="1"/>
  <c r="E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721" s="1"/>
  <c r="H722" s="1"/>
  <c r="H691"/>
  <c r="I688"/>
  <c r="E688"/>
  <c r="K687"/>
  <c r="K688" s="1"/>
  <c r="J687"/>
  <c r="J688" s="1"/>
  <c r="I687"/>
  <c r="G687"/>
  <c r="G688" s="1"/>
  <c r="F687"/>
  <c r="F688" s="1"/>
  <c r="E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87" s="1"/>
  <c r="H688" s="1"/>
  <c r="H656"/>
  <c r="J653"/>
  <c r="F653"/>
  <c r="K652"/>
  <c r="K653" s="1"/>
  <c r="J652"/>
  <c r="I652"/>
  <c r="I653" s="1"/>
  <c r="G652"/>
  <c r="G653" s="1"/>
  <c r="F652"/>
  <c r="E652"/>
  <c r="E653" s="1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52" s="1"/>
  <c r="H653" s="1"/>
  <c r="H621"/>
  <c r="K618"/>
  <c r="G618"/>
  <c r="K617"/>
  <c r="J617"/>
  <c r="J618" s="1"/>
  <c r="I617"/>
  <c r="I618" s="1"/>
  <c r="G617"/>
  <c r="F617"/>
  <c r="F618" s="1"/>
  <c r="E617"/>
  <c r="E618" s="1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617" s="1"/>
  <c r="H618" s="1"/>
  <c r="H587"/>
  <c r="K584"/>
  <c r="G584"/>
  <c r="K583"/>
  <c r="J583"/>
  <c r="J584" s="1"/>
  <c r="I583"/>
  <c r="I584" s="1"/>
  <c r="G583"/>
  <c r="F583"/>
  <c r="F584" s="1"/>
  <c r="E583"/>
  <c r="E584" s="1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83" s="1"/>
  <c r="H584" s="1"/>
  <c r="H552"/>
  <c r="K548"/>
  <c r="K549" s="1"/>
  <c r="J548"/>
  <c r="J549" s="1"/>
  <c r="I548"/>
  <c r="I549" s="1"/>
  <c r="G548"/>
  <c r="G549" s="1"/>
  <c r="F548"/>
  <c r="F549" s="1"/>
  <c r="E548"/>
  <c r="E549" s="1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48" s="1"/>
  <c r="H518"/>
  <c r="K514"/>
  <c r="K515" s="1"/>
  <c r="J514"/>
  <c r="J515" s="1"/>
  <c r="I514"/>
  <c r="I515" s="1"/>
  <c r="G514"/>
  <c r="G515" s="1"/>
  <c r="F514"/>
  <c r="F515" s="1"/>
  <c r="E514"/>
  <c r="E515" s="1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514" s="1"/>
  <c r="H515" s="1"/>
  <c r="H483"/>
  <c r="I480"/>
  <c r="E480"/>
  <c r="K479"/>
  <c r="K480" s="1"/>
  <c r="J479"/>
  <c r="J480" s="1"/>
  <c r="I479"/>
  <c r="G479"/>
  <c r="G480" s="1"/>
  <c r="F479"/>
  <c r="F480" s="1"/>
  <c r="E479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79" s="1"/>
  <c r="H480" s="1"/>
  <c r="J448"/>
  <c r="F448"/>
  <c r="K447"/>
  <c r="K448" s="1"/>
  <c r="J447"/>
  <c r="I447"/>
  <c r="I448" s="1"/>
  <c r="G447"/>
  <c r="G448" s="1"/>
  <c r="F447"/>
  <c r="E447"/>
  <c r="E448" s="1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47" s="1"/>
  <c r="H448" s="1"/>
  <c r="K413"/>
  <c r="G413"/>
  <c r="K412"/>
  <c r="J412"/>
  <c r="J413" s="1"/>
  <c r="I412"/>
  <c r="I413" s="1"/>
  <c r="G412"/>
  <c r="F412"/>
  <c r="F413" s="1"/>
  <c r="E412"/>
  <c r="E413" s="1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412" s="1"/>
  <c r="H413" s="1"/>
  <c r="K377"/>
  <c r="K378" s="1"/>
  <c r="J377"/>
  <c r="J378" s="1"/>
  <c r="I377"/>
  <c r="I378" s="1"/>
  <c r="G377"/>
  <c r="G378" s="1"/>
  <c r="F377"/>
  <c r="F378" s="1"/>
  <c r="E377"/>
  <c r="E378" s="1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77" s="1"/>
  <c r="H378" s="1"/>
  <c r="K343"/>
  <c r="K344" s="1"/>
  <c r="J343"/>
  <c r="J344" s="1"/>
  <c r="I343"/>
  <c r="I344" s="1"/>
  <c r="G343"/>
  <c r="G344" s="1"/>
  <c r="F343"/>
  <c r="F344" s="1"/>
  <c r="E343"/>
  <c r="E344" s="1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43" s="1"/>
  <c r="H344" s="1"/>
  <c r="I309"/>
  <c r="E309"/>
  <c r="K308"/>
  <c r="K309" s="1"/>
  <c r="J308"/>
  <c r="J309" s="1"/>
  <c r="I308"/>
  <c r="G308"/>
  <c r="G309" s="1"/>
  <c r="F308"/>
  <c r="F309" s="1"/>
  <c r="E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308" s="1"/>
  <c r="H309" s="1"/>
  <c r="I275"/>
  <c r="E275"/>
  <c r="K274"/>
  <c r="K275" s="1"/>
  <c r="J274"/>
  <c r="J275" s="1"/>
  <c r="I274"/>
  <c r="G274"/>
  <c r="G275" s="1"/>
  <c r="F274"/>
  <c r="F275" s="1"/>
  <c r="E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74" s="1"/>
  <c r="H275" s="1"/>
  <c r="J240"/>
  <c r="I240"/>
  <c r="F240"/>
  <c r="K239"/>
  <c r="K240" s="1"/>
  <c r="J239"/>
  <c r="I239"/>
  <c r="G239"/>
  <c r="G240" s="1"/>
  <c r="F239"/>
  <c r="E239"/>
  <c r="E240" s="1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39" s="1"/>
  <c r="H240" s="1"/>
  <c r="H208"/>
  <c r="K205"/>
  <c r="G205"/>
  <c r="K204"/>
  <c r="J204"/>
  <c r="J205" s="1"/>
  <c r="I204"/>
  <c r="I205" s="1"/>
  <c r="G204"/>
  <c r="F204"/>
  <c r="F205" s="1"/>
  <c r="E204"/>
  <c r="E205" s="1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204" s="1"/>
  <c r="H205" s="1"/>
  <c r="H174"/>
  <c r="K171"/>
  <c r="G171"/>
  <c r="K170"/>
  <c r="J170"/>
  <c r="J171" s="1"/>
  <c r="I170"/>
  <c r="I171" s="1"/>
  <c r="G170"/>
  <c r="F170"/>
  <c r="F171" s="1"/>
  <c r="E170"/>
  <c r="E171" s="1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2"/>
  <c r="H141"/>
  <c r="H140"/>
  <c r="H139"/>
  <c r="H170" s="1"/>
  <c r="H171" s="1"/>
  <c r="K136"/>
  <c r="G136"/>
  <c r="K135"/>
  <c r="J135"/>
  <c r="J136" s="1"/>
  <c r="I135"/>
  <c r="I136" s="1"/>
  <c r="G135"/>
  <c r="F135"/>
  <c r="F136" s="1"/>
  <c r="E135"/>
  <c r="E136" s="1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35" s="1"/>
  <c r="H136" s="1"/>
  <c r="K102"/>
  <c r="G102"/>
  <c r="K101"/>
  <c r="J101"/>
  <c r="J102" s="1"/>
  <c r="I101"/>
  <c r="I102" s="1"/>
  <c r="G101"/>
  <c r="F101"/>
  <c r="F102" s="1"/>
  <c r="E101"/>
  <c r="E102" s="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101" s="1"/>
  <c r="H102" s="1"/>
  <c r="K66"/>
  <c r="K67" s="1"/>
  <c r="J66"/>
  <c r="J67" s="1"/>
  <c r="I66"/>
  <c r="I67" s="1"/>
  <c r="G66"/>
  <c r="G67" s="1"/>
  <c r="F66"/>
  <c r="F67" s="1"/>
  <c r="E66"/>
  <c r="E67" s="1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66" s="1"/>
  <c r="H67" s="1"/>
  <c r="J35"/>
  <c r="F35"/>
  <c r="K34"/>
  <c r="K35" s="1"/>
  <c r="J34"/>
  <c r="I34"/>
  <c r="I35" s="1"/>
  <c r="G34"/>
  <c r="G35" s="1"/>
  <c r="F34"/>
  <c r="E34"/>
  <c r="E35" s="1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34" s="1"/>
  <c r="H35" s="1"/>
  <c r="H549" l="1"/>
</calcChain>
</file>

<file path=xl/sharedStrings.xml><?xml version="1.0" encoding="utf-8"?>
<sst xmlns="http://schemas.openxmlformats.org/spreadsheetml/2006/main" count="2525" uniqueCount="79">
  <si>
    <t xml:space="preserve"> INFLOW PATTERN OF RIVER GODAVARI AT S.A.C.BARRAGE FOR THE MONTH OF January - 2021</t>
  </si>
  <si>
    <t>Date</t>
  </si>
  <si>
    <t>Time</t>
  </si>
  <si>
    <t>Pond level in Mts</t>
  </si>
  <si>
    <t>Gauge Readings in Feet</t>
  </si>
  <si>
    <t>GE in     C/S</t>
  </si>
  <si>
    <t>G.C. in           C/S</t>
  </si>
  <si>
    <t>G.W. in C/S</t>
  </si>
  <si>
    <t>Total in C/S</t>
  </si>
  <si>
    <t>Surplus in C/S</t>
  </si>
  <si>
    <t>Grand total in C/S</t>
  </si>
  <si>
    <t>Inflows</t>
  </si>
  <si>
    <t>7.00AM</t>
  </si>
  <si>
    <t xml:space="preserve">  Total</t>
  </si>
  <si>
    <t>in TMC</t>
  </si>
  <si>
    <t xml:space="preserve"> INFLOW PATTERN OF RIVER GODAVARI AT S.A.C.BARRAGE FOR THE MONTH OF February - 2021</t>
  </si>
  <si>
    <t xml:space="preserve"> INFLOW PATTERN OF RIVER GODAVARI AT S.A.C.BARRAGE FOR THE MONTH OF March-2021</t>
  </si>
  <si>
    <t xml:space="preserve"> INFLOW PATTERN OF RIVER GODAVARI AT S.A.C.BARRAGE FOR THE MONTH OF April-2021</t>
  </si>
  <si>
    <t>Pond level    in Mts</t>
  </si>
  <si>
    <t>Grand total       in C/S</t>
  </si>
  <si>
    <t xml:space="preserve"> INFLOW PATTERN OF RIVER GODAVARI AT S.A.C.BARRAGE FOR THE MONTH OF May-2021</t>
  </si>
  <si>
    <t xml:space="preserve"> INFLOW PATTERN OF RIVER GODAVARI AT S.A.C.BARRAGE FOR THE MONTH OF June-2021</t>
  </si>
  <si>
    <t xml:space="preserve"> INFLOW PATTERN OF RIVER GODAVARI AT S.A.C.BARRAGE FOR THE MONTH OF July-2021</t>
  </si>
  <si>
    <t xml:space="preserve"> INFLOW PATTERN OF RIVER GODAVARI AT S.A.C.BARRAGE FOR THE MONTH OF August-2021</t>
  </si>
  <si>
    <t xml:space="preserve"> INFLOW PATTERN OF RIVER GODAVARI AT S.A.C.BARRAGE FOR THE MONTH OF September-2021</t>
  </si>
  <si>
    <t xml:space="preserve"> INFLOW PATTERN OF RIVER GODAVARI AT S.A.C.BARRAGE FOR THE MONTH OF October-2021</t>
  </si>
  <si>
    <t>0310-2021</t>
  </si>
  <si>
    <t xml:space="preserve"> INFLOW PATTERN OF RIVER GODAVARI AT S.A.C.BARRAGE FOR THE MONTH OF November-2021</t>
  </si>
  <si>
    <t xml:space="preserve"> INFLOW PATTERN OF RIVER GODAVARI AT S.A.C.BARRAGE FOR THE MONTH OF December-2021</t>
  </si>
  <si>
    <t>10.80</t>
  </si>
  <si>
    <t>10.65</t>
  </si>
  <si>
    <t xml:space="preserve"> INFLOW PATTERN OF RIVER GODAVARI AT S.A.C.BARRAGE FOR THE MONTH OF January - 2022</t>
  </si>
  <si>
    <t xml:space="preserve"> INFLOW PATTERN OF RIVER GODAVARI AT S.A.C.BARRAGE FOR THE MONTH OF February - 2022</t>
  </si>
  <si>
    <t xml:space="preserve"> INFLOW PATTERN OF RIVER GODAVARI AT S.A.C.BARRAGE FOR THE MONTH OF March - 2022</t>
  </si>
  <si>
    <t xml:space="preserve"> INFLOW PATTERN OF RIVER GODAVARI AT S.A.C.BARRAGE FOR THE MONTH OF April - 2022</t>
  </si>
  <si>
    <t xml:space="preserve"> INFLOW PATTERN OF RIVER GODAVARI AT S.A.C.BARRAGE FOR THE MONTH OF May - 2022</t>
  </si>
  <si>
    <t xml:space="preserve"> INFLOW PATTERN OF RIVER GODAVARI AT S.A.C.BARRAGE FOR THE MONTH OF June - 2022</t>
  </si>
  <si>
    <t xml:space="preserve"> INFLOW PATTERN OF RIVER GODAVARI AT S.A.C.BARRAGE FOR THE MONTH OF July - 2022</t>
  </si>
  <si>
    <t xml:space="preserve"> INFLOW PATTERN OF RIVER GODAVARI AT S.A.C.BARRAGE FOR THE MONTH OF August - 2022</t>
  </si>
  <si>
    <t xml:space="preserve"> INFLOW PATTERN OF RIVER GODAVARI AT S.A.C.BARRAGE FOR THE MONTH OF September - 2022</t>
  </si>
  <si>
    <t xml:space="preserve"> INFLOW PATTERN OF RIVER GODAVARI AT S.A.C.BARRAGE FOR THE MONTH OF OCtober - 2022</t>
  </si>
  <si>
    <t xml:space="preserve"> INFLOW PATTERN OF RIVER GODAVARI AT S.A.C.BARRAGE FOR THE MONTH OF November - 2022</t>
  </si>
  <si>
    <t xml:space="preserve"> INFLOW PATTERN OF RIVER GODAVARI AT S.A.C.BARRAGE FOR THE MONTH OF December - 2022</t>
  </si>
  <si>
    <t xml:space="preserve"> INFLOW PATTERN OF RIVER GODAVARI AT S.A.C.BARRAGE FOR THE MONTH OF January - 2023</t>
  </si>
  <si>
    <t xml:space="preserve"> INFLOW PATTERN OF RIVER GODAVARI AT S.A.C.BARRAGE FOR THE MONTH OF February - 2023</t>
  </si>
  <si>
    <t xml:space="preserve"> INFLOW PATTERN OF RIVER GODAVARI AT S.A.C.BARRAGE FOR THE MONTH OF March - 2023</t>
  </si>
  <si>
    <t xml:space="preserve"> INFLOW PATTERN OF RIVER GODAVARI AT S.A.C.BARRAGE FOR THE MONTH OF April - 2023</t>
  </si>
  <si>
    <t xml:space="preserve"> INFLOW PATTERN OF RIVER GODAVARI AT S.A.C.BARRAGE FOR THE MONTH OF May - 2023</t>
  </si>
  <si>
    <t xml:space="preserve"> INFLOW PATTERN OF RIVER GODAVARI AT S.A.C.BARRAGE FOR THE MONTH OF June - 2023</t>
  </si>
  <si>
    <t>13..99</t>
  </si>
  <si>
    <t xml:space="preserve"> INFLOW PATTERN OF RIVER GODAVARI AT S.A.C.BARRAGE FOR THE MONTH OF July - 2023</t>
  </si>
  <si>
    <t xml:space="preserve"> INFLOW PATTERN OF RIVER GODAVARI AT S.A.C.BARRAGE FOR THE MONTH OF August - 2023</t>
  </si>
  <si>
    <t xml:space="preserve"> INFLOW PATTERN OF RIVER GODAVARI AT S.A.C.BARRAGE FOR THE MONTH OF September - 2023</t>
  </si>
  <si>
    <t xml:space="preserve"> INFLOW PATTERN OF RIVER GODAVARI AT S.A.C.BARRAGE FOR THE MONTH OF October - 2023</t>
  </si>
  <si>
    <t xml:space="preserve"> INFLOW PATTERN OF RIVER GODAVARI AT S.A.C.BARRAGE FOR THE MONTH OF November - 2023</t>
  </si>
  <si>
    <t xml:space="preserve"> INFLOW PATTERN OF RIVER GODAVARI AT S.A.C.BARRAGE FOR THE MONTH OF December - 2023</t>
  </si>
  <si>
    <t xml:space="preserve"> INFLOW PATTERN OF RIVER GODAVARI AT S.A.C.BARRAGE FOR THE MONTH OF January - 2024</t>
  </si>
  <si>
    <t xml:space="preserve"> INFLOW PATTERN OF RIVER GODAVARI AT S.A.C.BARRAGE FOR THE MONTH OF February - 2024</t>
  </si>
  <si>
    <t xml:space="preserve"> INFLOW PATTERN OF RIVER GODAVARI AT S.A.C.BARRAGE FOR THE MONTH OF March - 2024</t>
  </si>
  <si>
    <t xml:space="preserve"> INFLOW PATTERN OF RIVER GODAVARI AT S.A.C.BARRAGE FOR THE MONTH OF April - 2024</t>
  </si>
  <si>
    <t xml:space="preserve"> INFLOW PATTERN OF RIVER GODAVARI AT S.A.C.BARRAGE FOR THE MONTH OF May - 2024</t>
  </si>
  <si>
    <t xml:space="preserve"> INFLOW PATTERN OF RIVER GODAVARI AT S.A.C.BARRAGE FOR THE MONTH OF June - 2024</t>
  </si>
  <si>
    <t xml:space="preserve"> INFLOW PATTERN OF RIVER GODAVARI AT S.A.C.BARRAGE FOR THE MONTH OF July - 2024</t>
  </si>
  <si>
    <t xml:space="preserve"> INFLOW PATTERN OF RIVER GODAVARI AT S.A.C.BARRAGE FOR THE MONTH OF August - 2024</t>
  </si>
  <si>
    <t xml:space="preserve"> INFLOW PATTERN OF RIVER GODAVARI AT S.A.C.BARRAGE FOR THE MONTH OF September - 2024</t>
  </si>
  <si>
    <t xml:space="preserve"> INFLOW PATTERN OF RIVER GODAVARI AT S.A.C.BARRAGE FOR THE MONTH OF October - 2024</t>
  </si>
  <si>
    <t xml:space="preserve"> INFLOW PATTERN OF RIVER GODAVARI AT S.A.C.BARRAGE FOR THE MONTH OF November - 2024</t>
  </si>
  <si>
    <t xml:space="preserve"> INFLOW PATTERN OF RIVER GODAVARI AT S.A.C.BARRAGE FOR THE MONTH OF December - 2024</t>
  </si>
  <si>
    <t xml:space="preserve"> INFLOW PATTERN OF RIVER GODAVARI AT S.A.C.BARRAGE FOR THE MONTH OF January - 2025</t>
  </si>
  <si>
    <t xml:space="preserve"> INFLOW PATTERN OF RIVER GODAVARI AT S.A.C.BARRAGE FOR THE MONTH OF February - 2025</t>
  </si>
  <si>
    <t xml:space="preserve"> INFLOW PATTERN OF RIVER GODAVARI AT S.A.C.BARRAGE FOR THE MONTH OF March - 2025</t>
  </si>
  <si>
    <t xml:space="preserve"> INFLOW PATTERN OF RIVER GODAVARI AT S.A.C.BARRAGE FOR THE MONTH OF April - 2025</t>
  </si>
  <si>
    <t xml:space="preserve"> INFLOW PATTERN OF RIVER GODAVARI AT S.A.C.BARRAGE FOR THE MONTH OF May - 2025</t>
  </si>
  <si>
    <t xml:space="preserve"> INFLOW PATTERN OF RIVER GODAVARI AT S.A.C.BARRAGE FOR THE MONTH OF June - 2025</t>
  </si>
  <si>
    <t>01-062025</t>
  </si>
  <si>
    <t xml:space="preserve"> INFLOW PATTERN OF RIVER GODAVARI AT S.A.C.BARRAGE FOR THE MONTH OF July - 2025</t>
  </si>
  <si>
    <t xml:space="preserve"> INFLOW PATTERN OF RIVER GODAVARI AT S.A.C.BARRAGE FOR THE MONTH OF August - 2025</t>
  </si>
  <si>
    <t xml:space="preserve"> INFLOW PATTERN OF RIVER GODAVARI AT S.A.C.BARRAGE FOR THE MONTH OF September - 2025</t>
  </si>
  <si>
    <t xml:space="preserve"> INFLOW PATTERN OF RIVER GODAVARI AT S.A.C.BARRAGE FOR THE MONTH OF October - 2025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</si>
</sst>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0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Fill="1" applyBorder="1" applyAlignment="1">
      <alignment horizontal="right" vertical="center"/>
    </xf>
    <xf numFmtId="1" fontId="1" fillId="0" borderId="2" xfId="0" applyNumberFormat="1" applyFont="1" applyBorder="1" applyAlignment="1">
      <alignment horizontal="right" vertical="center"/>
    </xf>
    <xf numFmtId="14" fontId="1" fillId="0" borderId="2" xfId="0" applyNumberFormat="1" applyFont="1" applyFill="1" applyBorder="1" applyAlignment="1">
      <alignment horizontal="center" vertical="center"/>
    </xf>
    <xf numFmtId="165" fontId="1" fillId="0" borderId="2" xfId="0" applyNumberFormat="1" applyFont="1" applyBorder="1" applyAlignment="1">
      <alignment horizontal="right" vertical="center"/>
    </xf>
    <xf numFmtId="1" fontId="2" fillId="0" borderId="2" xfId="0" applyNumberFormat="1" applyFont="1" applyBorder="1" applyAlignment="1">
      <alignment horizontal="right" vertical="center"/>
    </xf>
    <xf numFmtId="1" fontId="2" fillId="0" borderId="2" xfId="0" quotePrefix="1" applyNumberFormat="1" applyFont="1" applyBorder="1" applyAlignment="1">
      <alignment horizontal="center" vertical="center"/>
    </xf>
    <xf numFmtId="0" fontId="2" fillId="0" borderId="3" xfId="0" applyFont="1" applyFill="1" applyBorder="1" applyAlignment="1">
      <alignment horizontal="right" vertical="center"/>
    </xf>
    <xf numFmtId="2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97"/>
  <sheetViews>
    <sheetView tabSelected="1" view="pageBreakPreview" topLeftCell="A1928" zoomScaleSheetLayoutView="100" workbookViewId="0">
      <selection activeCell="P647" sqref="P647"/>
    </sheetView>
  </sheetViews>
  <sheetFormatPr defaultRowHeight="15"/>
  <cols>
    <col min="1" max="1" width="13.28515625" customWidth="1"/>
    <col min="3" max="3" width="9.28515625" bestFit="1" customWidth="1"/>
    <col min="4" max="4" width="10.140625" customWidth="1"/>
    <col min="5" max="6" width="10.42578125" bestFit="1" customWidth="1"/>
    <col min="7" max="8" width="11.5703125" bestFit="1" customWidth="1"/>
    <col min="9" max="10" width="9.85546875" customWidth="1"/>
    <col min="11" max="11" width="10.28515625" customWidth="1"/>
  </cols>
  <sheetData>
    <row r="1" spans="1:1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7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</row>
    <row r="3" spans="1:11" ht="15.75">
      <c r="A3" s="5">
        <v>44197</v>
      </c>
      <c r="B3" s="6" t="s">
        <v>12</v>
      </c>
      <c r="C3" s="7">
        <v>13.93</v>
      </c>
      <c r="D3" s="7">
        <v>10.7</v>
      </c>
      <c r="E3" s="8">
        <v>2600</v>
      </c>
      <c r="F3" s="8">
        <v>1910</v>
      </c>
      <c r="G3" s="8">
        <v>5410</v>
      </c>
      <c r="H3" s="9">
        <f t="shared" ref="H3:H33" si="0">E3+F3+G3</f>
        <v>9920</v>
      </c>
      <c r="I3" s="9">
        <v>0</v>
      </c>
      <c r="J3" s="9">
        <v>9920</v>
      </c>
      <c r="K3" s="10">
        <v>9920</v>
      </c>
    </row>
    <row r="4" spans="1:11" ht="15.75">
      <c r="A4" s="5">
        <v>44198</v>
      </c>
      <c r="B4" s="6" t="s">
        <v>12</v>
      </c>
      <c r="C4" s="7">
        <v>13.95</v>
      </c>
      <c r="D4" s="7">
        <v>10.75</v>
      </c>
      <c r="E4" s="8">
        <v>2600</v>
      </c>
      <c r="F4" s="6">
        <v>1910</v>
      </c>
      <c r="G4" s="6">
        <v>5410</v>
      </c>
      <c r="H4" s="9">
        <f t="shared" si="0"/>
        <v>9920</v>
      </c>
      <c r="I4" s="9">
        <v>0</v>
      </c>
      <c r="J4" s="9">
        <v>9920</v>
      </c>
      <c r="K4" s="10">
        <v>9997</v>
      </c>
    </row>
    <row r="5" spans="1:11" ht="15.75">
      <c r="A5" s="5">
        <v>44199</v>
      </c>
      <c r="B5" s="6" t="s">
        <v>12</v>
      </c>
      <c r="C5" s="7">
        <v>13.99</v>
      </c>
      <c r="D5" s="7">
        <v>10.9</v>
      </c>
      <c r="E5" s="8">
        <v>2600</v>
      </c>
      <c r="F5" s="6">
        <v>2100</v>
      </c>
      <c r="G5" s="6">
        <v>5700</v>
      </c>
      <c r="H5" s="9">
        <f t="shared" si="0"/>
        <v>10400</v>
      </c>
      <c r="I5" s="9">
        <v>0</v>
      </c>
      <c r="J5" s="9">
        <v>10400</v>
      </c>
      <c r="K5" s="10">
        <v>10785</v>
      </c>
    </row>
    <row r="6" spans="1:11" ht="15.75">
      <c r="A6" s="5">
        <v>44200</v>
      </c>
      <c r="B6" s="6" t="s">
        <v>12</v>
      </c>
      <c r="C6" s="7">
        <v>13.99</v>
      </c>
      <c r="D6" s="7">
        <v>10.6</v>
      </c>
      <c r="E6" s="8">
        <v>3300</v>
      </c>
      <c r="F6" s="6">
        <v>2300</v>
      </c>
      <c r="G6" s="6">
        <v>6500</v>
      </c>
      <c r="H6" s="9">
        <f t="shared" si="0"/>
        <v>12100</v>
      </c>
      <c r="I6" s="9">
        <v>0</v>
      </c>
      <c r="J6" s="9">
        <v>12100</v>
      </c>
      <c r="K6" s="10">
        <v>12100</v>
      </c>
    </row>
    <row r="7" spans="1:11" ht="15.75">
      <c r="A7" s="5">
        <v>44201</v>
      </c>
      <c r="B7" s="6" t="s">
        <v>12</v>
      </c>
      <c r="C7" s="7">
        <v>13.99</v>
      </c>
      <c r="D7" s="7">
        <v>10.9</v>
      </c>
      <c r="E7" s="8">
        <v>3300</v>
      </c>
      <c r="F7" s="6">
        <v>2400</v>
      </c>
      <c r="G7" s="6">
        <v>6500</v>
      </c>
      <c r="H7" s="9">
        <f t="shared" si="0"/>
        <v>12200</v>
      </c>
      <c r="I7" s="9">
        <v>0</v>
      </c>
      <c r="J7" s="9">
        <v>12200</v>
      </c>
      <c r="K7" s="9">
        <v>12200</v>
      </c>
    </row>
    <row r="8" spans="1:11" ht="15.75">
      <c r="A8" s="5">
        <v>44202</v>
      </c>
      <c r="B8" s="6" t="s">
        <v>12</v>
      </c>
      <c r="C8" s="7">
        <v>13.98</v>
      </c>
      <c r="D8" s="7">
        <v>10.85</v>
      </c>
      <c r="E8" s="8">
        <v>3100</v>
      </c>
      <c r="F8" s="6">
        <v>2300</v>
      </c>
      <c r="G8" s="6">
        <v>6300</v>
      </c>
      <c r="H8" s="9">
        <f t="shared" si="0"/>
        <v>11700</v>
      </c>
      <c r="I8" s="9">
        <v>0</v>
      </c>
      <c r="J8" s="9">
        <v>11700</v>
      </c>
      <c r="K8" s="10">
        <v>11546</v>
      </c>
    </row>
    <row r="9" spans="1:11" ht="15.75">
      <c r="A9" s="5">
        <v>44203</v>
      </c>
      <c r="B9" s="6" t="s">
        <v>12</v>
      </c>
      <c r="C9" s="7">
        <v>13.95</v>
      </c>
      <c r="D9" s="7">
        <v>10.75</v>
      </c>
      <c r="E9" s="8">
        <v>2900</v>
      </c>
      <c r="F9" s="6">
        <v>2100</v>
      </c>
      <c r="G9" s="6">
        <v>5800</v>
      </c>
      <c r="H9" s="9">
        <f t="shared" si="0"/>
        <v>10800</v>
      </c>
      <c r="I9" s="9">
        <v>0</v>
      </c>
      <c r="J9" s="9">
        <v>10800</v>
      </c>
      <c r="K9" s="10">
        <v>10568</v>
      </c>
    </row>
    <row r="10" spans="1:11" ht="15.75">
      <c r="A10" s="5">
        <v>44204</v>
      </c>
      <c r="B10" s="6" t="s">
        <v>12</v>
      </c>
      <c r="C10" s="7">
        <v>13.96</v>
      </c>
      <c r="D10" s="7">
        <v>10.8</v>
      </c>
      <c r="E10" s="8">
        <v>2650</v>
      </c>
      <c r="F10" s="6">
        <v>1720</v>
      </c>
      <c r="G10" s="6">
        <v>4600</v>
      </c>
      <c r="H10" s="9">
        <f t="shared" si="0"/>
        <v>8970</v>
      </c>
      <c r="I10" s="9">
        <v>0</v>
      </c>
      <c r="J10" s="9">
        <v>8970</v>
      </c>
      <c r="K10" s="10">
        <v>9124</v>
      </c>
    </row>
    <row r="11" spans="1:11" ht="15.75">
      <c r="A11" s="5">
        <v>44205</v>
      </c>
      <c r="B11" s="6" t="s">
        <v>12</v>
      </c>
      <c r="C11" s="7">
        <v>13.96</v>
      </c>
      <c r="D11" s="7">
        <v>10.8</v>
      </c>
      <c r="E11" s="8">
        <v>2650</v>
      </c>
      <c r="F11" s="6">
        <v>1720</v>
      </c>
      <c r="G11" s="6">
        <v>4600</v>
      </c>
      <c r="H11" s="9">
        <f t="shared" si="0"/>
        <v>8970</v>
      </c>
      <c r="I11" s="9">
        <v>0</v>
      </c>
      <c r="J11" s="9">
        <v>8970</v>
      </c>
      <c r="K11" s="10">
        <v>8970</v>
      </c>
    </row>
    <row r="12" spans="1:11" ht="15.75">
      <c r="A12" s="5">
        <v>44206</v>
      </c>
      <c r="B12" s="6" t="s">
        <v>12</v>
      </c>
      <c r="C12" s="7">
        <v>13.95</v>
      </c>
      <c r="D12" s="7">
        <v>10.75</v>
      </c>
      <c r="E12" s="8">
        <v>2650</v>
      </c>
      <c r="F12" s="6">
        <v>1720</v>
      </c>
      <c r="G12" s="6">
        <v>4600</v>
      </c>
      <c r="H12" s="9">
        <f t="shared" si="0"/>
        <v>8970</v>
      </c>
      <c r="I12" s="9">
        <v>0</v>
      </c>
      <c r="J12" s="9">
        <v>8970</v>
      </c>
      <c r="K12" s="10">
        <v>8816</v>
      </c>
    </row>
    <row r="13" spans="1:11" ht="15.75">
      <c r="A13" s="5">
        <v>44207</v>
      </c>
      <c r="B13" s="6" t="s">
        <v>12</v>
      </c>
      <c r="C13" s="7">
        <v>13.93</v>
      </c>
      <c r="D13" s="7">
        <v>10.7</v>
      </c>
      <c r="E13" s="8">
        <v>2650</v>
      </c>
      <c r="F13" s="6">
        <v>1720</v>
      </c>
      <c r="G13" s="6">
        <v>4600</v>
      </c>
      <c r="H13" s="9">
        <f t="shared" si="0"/>
        <v>8970</v>
      </c>
      <c r="I13" s="9">
        <v>0</v>
      </c>
      <c r="J13" s="9">
        <v>8970</v>
      </c>
      <c r="K13" s="10">
        <v>8892</v>
      </c>
    </row>
    <row r="14" spans="1:11" ht="15.75">
      <c r="A14" s="5">
        <v>44208</v>
      </c>
      <c r="B14" s="6" t="s">
        <v>12</v>
      </c>
      <c r="C14" s="7">
        <v>13.9</v>
      </c>
      <c r="D14" s="7">
        <v>10.6</v>
      </c>
      <c r="E14" s="8">
        <v>2650</v>
      </c>
      <c r="F14" s="6">
        <v>1720</v>
      </c>
      <c r="G14" s="6">
        <v>4600</v>
      </c>
      <c r="H14" s="9">
        <f t="shared" si="0"/>
        <v>8970</v>
      </c>
      <c r="I14" s="9">
        <v>0</v>
      </c>
      <c r="J14" s="9">
        <v>8970</v>
      </c>
      <c r="K14" s="10">
        <v>8738</v>
      </c>
    </row>
    <row r="15" spans="1:11" ht="15.75">
      <c r="A15" s="5">
        <v>44209</v>
      </c>
      <c r="B15" s="6" t="s">
        <v>12</v>
      </c>
      <c r="C15" s="7">
        <v>13.87</v>
      </c>
      <c r="D15" s="7">
        <v>10.5</v>
      </c>
      <c r="E15" s="8">
        <v>2450</v>
      </c>
      <c r="F15" s="6">
        <v>1520</v>
      </c>
      <c r="G15" s="6">
        <v>4600</v>
      </c>
      <c r="H15" s="9">
        <f t="shared" si="0"/>
        <v>8570</v>
      </c>
      <c r="I15" s="9">
        <v>0</v>
      </c>
      <c r="J15" s="9">
        <v>8570</v>
      </c>
      <c r="K15" s="10">
        <v>8338</v>
      </c>
    </row>
    <row r="16" spans="1:11" ht="15.75">
      <c r="A16" s="5">
        <v>44210</v>
      </c>
      <c r="B16" s="6" t="s">
        <v>12</v>
      </c>
      <c r="C16" s="7">
        <v>13.85</v>
      </c>
      <c r="D16" s="7">
        <v>10.45</v>
      </c>
      <c r="E16" s="8">
        <v>2450</v>
      </c>
      <c r="F16" s="6">
        <v>1520</v>
      </c>
      <c r="G16" s="6">
        <v>4600</v>
      </c>
      <c r="H16" s="9">
        <f t="shared" si="0"/>
        <v>8570</v>
      </c>
      <c r="I16" s="9">
        <v>0</v>
      </c>
      <c r="J16" s="9">
        <v>8570</v>
      </c>
      <c r="K16" s="10">
        <v>8416</v>
      </c>
    </row>
    <row r="17" spans="1:11" ht="15.75">
      <c r="A17" s="5">
        <v>44211</v>
      </c>
      <c r="B17" s="6" t="s">
        <v>12</v>
      </c>
      <c r="C17" s="7">
        <v>13.85</v>
      </c>
      <c r="D17" s="7">
        <v>10.45</v>
      </c>
      <c r="E17" s="8">
        <v>2450</v>
      </c>
      <c r="F17" s="6">
        <v>1520</v>
      </c>
      <c r="G17" s="6">
        <v>4600</v>
      </c>
      <c r="H17" s="9">
        <f t="shared" si="0"/>
        <v>8570</v>
      </c>
      <c r="I17" s="9">
        <v>0</v>
      </c>
      <c r="J17" s="9">
        <v>8570</v>
      </c>
      <c r="K17" s="10">
        <v>8570</v>
      </c>
    </row>
    <row r="18" spans="1:11" ht="15.75">
      <c r="A18" s="5">
        <v>44212</v>
      </c>
      <c r="B18" s="6" t="s">
        <v>12</v>
      </c>
      <c r="C18" s="7">
        <v>13.84</v>
      </c>
      <c r="D18" s="7">
        <v>10.4</v>
      </c>
      <c r="E18" s="8">
        <v>2450</v>
      </c>
      <c r="F18" s="6">
        <v>1520</v>
      </c>
      <c r="G18" s="6">
        <v>4300</v>
      </c>
      <c r="H18" s="9">
        <f t="shared" si="0"/>
        <v>8270</v>
      </c>
      <c r="I18" s="9">
        <v>0</v>
      </c>
      <c r="J18" s="9">
        <v>8270</v>
      </c>
      <c r="K18" s="10">
        <v>8192</v>
      </c>
    </row>
    <row r="19" spans="1:11" ht="15.75">
      <c r="A19" s="5">
        <v>44213</v>
      </c>
      <c r="B19" s="6" t="s">
        <v>12</v>
      </c>
      <c r="C19" s="7">
        <v>13.79</v>
      </c>
      <c r="D19" s="7">
        <v>10.25</v>
      </c>
      <c r="E19" s="8">
        <v>2750</v>
      </c>
      <c r="F19" s="6">
        <v>1520</v>
      </c>
      <c r="G19" s="6">
        <v>4100</v>
      </c>
      <c r="H19" s="9">
        <f t="shared" si="0"/>
        <v>8370</v>
      </c>
      <c r="I19" s="9">
        <v>0</v>
      </c>
      <c r="J19" s="9">
        <v>8370</v>
      </c>
      <c r="K19" s="10">
        <v>7985</v>
      </c>
    </row>
    <row r="20" spans="1:11" ht="15.75">
      <c r="A20" s="5">
        <v>44214</v>
      </c>
      <c r="B20" s="6" t="s">
        <v>12</v>
      </c>
      <c r="C20" s="7">
        <v>13.72</v>
      </c>
      <c r="D20" s="7">
        <v>10</v>
      </c>
      <c r="E20" s="8">
        <v>2750</v>
      </c>
      <c r="F20" s="6">
        <v>1620</v>
      </c>
      <c r="G20" s="6">
        <v>4100</v>
      </c>
      <c r="H20" s="9">
        <f t="shared" si="0"/>
        <v>8470</v>
      </c>
      <c r="I20" s="9">
        <v>0</v>
      </c>
      <c r="J20" s="9">
        <v>8470</v>
      </c>
      <c r="K20" s="10">
        <v>7930</v>
      </c>
    </row>
    <row r="21" spans="1:11" ht="15.75">
      <c r="A21" s="5">
        <v>44215</v>
      </c>
      <c r="B21" s="6" t="s">
        <v>12</v>
      </c>
      <c r="C21" s="7">
        <v>13.66</v>
      </c>
      <c r="D21" s="7">
        <v>9.8000000000000007</v>
      </c>
      <c r="E21" s="8">
        <v>2750</v>
      </c>
      <c r="F21" s="6">
        <v>1720</v>
      </c>
      <c r="G21" s="6">
        <v>3900</v>
      </c>
      <c r="H21" s="9">
        <f t="shared" si="0"/>
        <v>8370</v>
      </c>
      <c r="I21" s="9">
        <v>0</v>
      </c>
      <c r="J21" s="9">
        <v>8370</v>
      </c>
      <c r="K21" s="10">
        <v>7907</v>
      </c>
    </row>
    <row r="22" spans="1:11" ht="15.75">
      <c r="A22" s="5">
        <v>44216</v>
      </c>
      <c r="B22" s="6" t="s">
        <v>12</v>
      </c>
      <c r="C22" s="7">
        <v>13.57</v>
      </c>
      <c r="D22" s="7">
        <v>9.5</v>
      </c>
      <c r="E22" s="8">
        <v>2950</v>
      </c>
      <c r="F22" s="6">
        <v>1920</v>
      </c>
      <c r="G22" s="6">
        <v>3900</v>
      </c>
      <c r="H22" s="9">
        <f t="shared" si="0"/>
        <v>8770</v>
      </c>
      <c r="I22" s="9">
        <v>0</v>
      </c>
      <c r="J22" s="9">
        <v>8770</v>
      </c>
      <c r="K22" s="10">
        <v>7676</v>
      </c>
    </row>
    <row r="23" spans="1:11" ht="15.75">
      <c r="A23" s="5">
        <v>44217</v>
      </c>
      <c r="B23" s="6" t="s">
        <v>12</v>
      </c>
      <c r="C23" s="7">
        <v>13.47</v>
      </c>
      <c r="D23" s="7">
        <v>9.1999999999999993</v>
      </c>
      <c r="E23" s="8">
        <v>2950</v>
      </c>
      <c r="F23" s="6">
        <v>1920</v>
      </c>
      <c r="G23" s="6">
        <v>3900</v>
      </c>
      <c r="H23" s="9">
        <f t="shared" si="0"/>
        <v>8770</v>
      </c>
      <c r="I23" s="9">
        <v>0</v>
      </c>
      <c r="J23" s="9">
        <v>8770</v>
      </c>
      <c r="K23" s="10">
        <v>7999</v>
      </c>
    </row>
    <row r="24" spans="1:11" ht="15.75">
      <c r="A24" s="5">
        <v>44218</v>
      </c>
      <c r="B24" s="6" t="s">
        <v>12</v>
      </c>
      <c r="C24" s="7">
        <v>13.4</v>
      </c>
      <c r="D24" s="7">
        <v>8.9499999999999993</v>
      </c>
      <c r="E24" s="8">
        <v>2950</v>
      </c>
      <c r="F24" s="6">
        <v>1920</v>
      </c>
      <c r="G24" s="6">
        <v>3900</v>
      </c>
      <c r="H24" s="9">
        <f t="shared" si="0"/>
        <v>8770</v>
      </c>
      <c r="I24" s="9">
        <v>0</v>
      </c>
      <c r="J24" s="9">
        <v>8770</v>
      </c>
      <c r="K24" s="10">
        <v>8230</v>
      </c>
    </row>
    <row r="25" spans="1:11" ht="15.75">
      <c r="A25" s="5">
        <v>44219</v>
      </c>
      <c r="B25" s="6" t="s">
        <v>12</v>
      </c>
      <c r="C25" s="7">
        <v>13.37</v>
      </c>
      <c r="D25" s="7">
        <v>8.85</v>
      </c>
      <c r="E25" s="8">
        <v>2950</v>
      </c>
      <c r="F25" s="6">
        <v>1920</v>
      </c>
      <c r="G25" s="6">
        <v>3900</v>
      </c>
      <c r="H25" s="9">
        <f t="shared" si="0"/>
        <v>8770</v>
      </c>
      <c r="I25" s="9">
        <v>0</v>
      </c>
      <c r="J25" s="9">
        <v>8770</v>
      </c>
      <c r="K25" s="10">
        <v>8538</v>
      </c>
    </row>
    <row r="26" spans="1:11" ht="15.75">
      <c r="A26" s="5">
        <v>44220</v>
      </c>
      <c r="B26" s="6" t="s">
        <v>12</v>
      </c>
      <c r="C26" s="7">
        <v>13.37</v>
      </c>
      <c r="D26" s="7">
        <v>8.85</v>
      </c>
      <c r="E26" s="8">
        <v>2950</v>
      </c>
      <c r="F26" s="6">
        <v>1920</v>
      </c>
      <c r="G26" s="6">
        <v>3900</v>
      </c>
      <c r="H26" s="9">
        <f t="shared" si="0"/>
        <v>8770</v>
      </c>
      <c r="I26" s="9">
        <v>0</v>
      </c>
      <c r="J26" s="9">
        <v>8770</v>
      </c>
      <c r="K26" s="10">
        <v>8770</v>
      </c>
    </row>
    <row r="27" spans="1:11" ht="15.75">
      <c r="A27" s="5">
        <v>44221</v>
      </c>
      <c r="B27" s="6" t="s">
        <v>12</v>
      </c>
      <c r="C27" s="7">
        <v>13.35</v>
      </c>
      <c r="D27" s="7">
        <v>8.8000000000000007</v>
      </c>
      <c r="E27" s="8">
        <v>2950</v>
      </c>
      <c r="F27" s="6">
        <v>1920</v>
      </c>
      <c r="G27" s="6">
        <v>3900</v>
      </c>
      <c r="H27" s="9">
        <f t="shared" si="0"/>
        <v>8770</v>
      </c>
      <c r="I27" s="9">
        <v>0</v>
      </c>
      <c r="J27" s="9">
        <v>8770</v>
      </c>
      <c r="K27" s="10">
        <v>8615</v>
      </c>
    </row>
    <row r="28" spans="1:11" ht="15.75">
      <c r="A28" s="5">
        <v>44222</v>
      </c>
      <c r="B28" s="6" t="s">
        <v>12</v>
      </c>
      <c r="C28" s="7">
        <v>13.32</v>
      </c>
      <c r="D28" s="7">
        <v>8.6999999999999993</v>
      </c>
      <c r="E28" s="8">
        <v>2750</v>
      </c>
      <c r="F28" s="6">
        <v>1820</v>
      </c>
      <c r="G28" s="6">
        <v>4200</v>
      </c>
      <c r="H28" s="9">
        <f t="shared" si="0"/>
        <v>8770</v>
      </c>
      <c r="I28" s="9">
        <v>0</v>
      </c>
      <c r="J28" s="9">
        <v>8770</v>
      </c>
      <c r="K28" s="10">
        <v>8542</v>
      </c>
    </row>
    <row r="29" spans="1:11" ht="15.75">
      <c r="A29" s="5">
        <v>44223</v>
      </c>
      <c r="B29" s="6" t="s">
        <v>12</v>
      </c>
      <c r="C29" s="7">
        <v>13.25</v>
      </c>
      <c r="D29" s="7">
        <v>8.4499999999999993</v>
      </c>
      <c r="E29" s="8">
        <v>2750</v>
      </c>
      <c r="F29" s="6">
        <v>1820</v>
      </c>
      <c r="G29" s="6">
        <v>4200</v>
      </c>
      <c r="H29" s="9">
        <f t="shared" si="0"/>
        <v>8770</v>
      </c>
      <c r="I29" s="9">
        <v>0</v>
      </c>
      <c r="J29" s="9">
        <v>8770</v>
      </c>
      <c r="K29" s="9">
        <v>8239</v>
      </c>
    </row>
    <row r="30" spans="1:11" ht="15.75">
      <c r="A30" s="5">
        <v>44224</v>
      </c>
      <c r="B30" s="6" t="s">
        <v>12</v>
      </c>
      <c r="C30" s="7">
        <v>13.2</v>
      </c>
      <c r="D30" s="7">
        <v>8.3000000000000007</v>
      </c>
      <c r="E30" s="8">
        <v>2400</v>
      </c>
      <c r="F30" s="6">
        <v>1560</v>
      </c>
      <c r="G30" s="6">
        <v>4180</v>
      </c>
      <c r="H30" s="9">
        <f t="shared" si="0"/>
        <v>8140</v>
      </c>
      <c r="I30" s="9">
        <v>0</v>
      </c>
      <c r="J30" s="9">
        <v>8140</v>
      </c>
      <c r="K30" s="9">
        <v>7760</v>
      </c>
    </row>
    <row r="31" spans="1:11" ht="15.75">
      <c r="A31" s="5">
        <v>44225</v>
      </c>
      <c r="B31" s="6" t="s">
        <v>12</v>
      </c>
      <c r="C31" s="7">
        <v>13.17</v>
      </c>
      <c r="D31" s="7">
        <v>8.1999999999999993</v>
      </c>
      <c r="E31" s="8">
        <v>2400</v>
      </c>
      <c r="F31" s="6">
        <v>1560</v>
      </c>
      <c r="G31" s="6">
        <v>4180</v>
      </c>
      <c r="H31" s="9">
        <f t="shared" si="0"/>
        <v>8140</v>
      </c>
      <c r="I31" s="9">
        <v>0</v>
      </c>
      <c r="J31" s="9">
        <v>8140</v>
      </c>
      <c r="K31" s="9">
        <v>7912</v>
      </c>
    </row>
    <row r="32" spans="1:11" ht="15.75">
      <c r="A32" s="5">
        <v>44226</v>
      </c>
      <c r="B32" s="6" t="s">
        <v>12</v>
      </c>
      <c r="C32" s="7">
        <v>13.11</v>
      </c>
      <c r="D32" s="7">
        <v>8</v>
      </c>
      <c r="E32" s="8">
        <v>2400</v>
      </c>
      <c r="F32" s="6">
        <v>1560</v>
      </c>
      <c r="G32" s="6">
        <v>4180</v>
      </c>
      <c r="H32" s="9">
        <f t="shared" si="0"/>
        <v>8140</v>
      </c>
      <c r="I32" s="9">
        <v>0</v>
      </c>
      <c r="J32" s="9">
        <v>8140</v>
      </c>
      <c r="K32" s="9">
        <v>7685</v>
      </c>
    </row>
    <row r="33" spans="1:11" ht="15.75">
      <c r="A33" s="5">
        <v>44227</v>
      </c>
      <c r="B33" s="6" t="s">
        <v>12</v>
      </c>
      <c r="C33" s="7">
        <v>13.02</v>
      </c>
      <c r="D33" s="7">
        <v>7.7</v>
      </c>
      <c r="E33" s="8">
        <v>2300</v>
      </c>
      <c r="F33" s="6">
        <v>1480</v>
      </c>
      <c r="G33" s="6">
        <v>3980</v>
      </c>
      <c r="H33" s="9">
        <f t="shared" si="0"/>
        <v>7760</v>
      </c>
      <c r="I33" s="9">
        <v>0</v>
      </c>
      <c r="J33" s="9">
        <v>7760</v>
      </c>
      <c r="K33" s="9">
        <v>7079</v>
      </c>
    </row>
    <row r="34" spans="1:11" ht="15.75">
      <c r="A34" s="2" t="s">
        <v>13</v>
      </c>
      <c r="B34" s="2"/>
      <c r="C34" s="2"/>
      <c r="D34" s="2"/>
      <c r="E34" s="11">
        <f t="shared" ref="E34:K34" si="1">SUM(E3:E33)</f>
        <v>84400</v>
      </c>
      <c r="F34" s="11">
        <f t="shared" si="1"/>
        <v>55880</v>
      </c>
      <c r="G34" s="11">
        <f t="shared" si="1"/>
        <v>143140</v>
      </c>
      <c r="H34" s="11">
        <f t="shared" si="1"/>
        <v>283420</v>
      </c>
      <c r="I34" s="11">
        <f t="shared" si="1"/>
        <v>0</v>
      </c>
      <c r="J34" s="11">
        <f t="shared" si="1"/>
        <v>283420</v>
      </c>
      <c r="K34" s="11">
        <f t="shared" si="1"/>
        <v>276039</v>
      </c>
    </row>
    <row r="35" spans="1:11" ht="15.75">
      <c r="A35" s="12" t="s">
        <v>14</v>
      </c>
      <c r="B35" s="2"/>
      <c r="C35" s="2"/>
      <c r="D35" s="2"/>
      <c r="E35" s="13">
        <f t="shared" ref="E35:K35" si="2">SUM(E34/11575)</f>
        <v>7.291576673866091</v>
      </c>
      <c r="F35" s="13">
        <f t="shared" si="2"/>
        <v>4.827645788336933</v>
      </c>
      <c r="G35" s="13">
        <f t="shared" si="2"/>
        <v>12.366306695464363</v>
      </c>
      <c r="H35" s="13">
        <f t="shared" si="2"/>
        <v>24.485529157667386</v>
      </c>
      <c r="I35" s="13">
        <f t="shared" si="2"/>
        <v>0</v>
      </c>
      <c r="J35" s="13">
        <f t="shared" si="2"/>
        <v>24.485529157667386</v>
      </c>
      <c r="K35" s="13">
        <f t="shared" si="2"/>
        <v>23.847861771058316</v>
      </c>
    </row>
    <row r="36" spans="1:11" ht="15.75">
      <c r="A36" s="1" t="s">
        <v>15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47.25">
      <c r="A37" s="2" t="s">
        <v>1</v>
      </c>
      <c r="B37" s="2" t="s">
        <v>2</v>
      </c>
      <c r="C37" s="3" t="s">
        <v>3</v>
      </c>
      <c r="D37" s="3" t="s">
        <v>4</v>
      </c>
      <c r="E37" s="3" t="s">
        <v>5</v>
      </c>
      <c r="F37" s="3" t="s">
        <v>6</v>
      </c>
      <c r="G37" s="3" t="s">
        <v>7</v>
      </c>
      <c r="H37" s="3" t="s">
        <v>8</v>
      </c>
      <c r="I37" s="3" t="s">
        <v>9</v>
      </c>
      <c r="J37" s="3" t="s">
        <v>10</v>
      </c>
      <c r="K37" s="4" t="s">
        <v>11</v>
      </c>
    </row>
    <row r="38" spans="1:11" ht="15.75">
      <c r="A38" s="5">
        <v>44228</v>
      </c>
      <c r="B38" s="6" t="s">
        <v>12</v>
      </c>
      <c r="C38" s="7">
        <v>12.99</v>
      </c>
      <c r="D38" s="7">
        <v>7.6</v>
      </c>
      <c r="E38" s="8">
        <v>2300</v>
      </c>
      <c r="F38" s="8">
        <v>1480</v>
      </c>
      <c r="G38" s="8">
        <v>3980</v>
      </c>
      <c r="H38" s="9">
        <f t="shared" ref="H38:H65" si="3">E38+F38+G38</f>
        <v>7760</v>
      </c>
      <c r="I38" s="9">
        <v>0</v>
      </c>
      <c r="J38" s="9">
        <v>7760</v>
      </c>
      <c r="K38" s="10">
        <v>7537</v>
      </c>
    </row>
    <row r="39" spans="1:11" ht="15.75">
      <c r="A39" s="5">
        <v>44229</v>
      </c>
      <c r="B39" s="6" t="s">
        <v>12</v>
      </c>
      <c r="C39" s="7">
        <v>12.93</v>
      </c>
      <c r="D39" s="7">
        <v>7.4</v>
      </c>
      <c r="E39" s="8">
        <v>2300</v>
      </c>
      <c r="F39" s="6">
        <v>1480</v>
      </c>
      <c r="G39" s="6">
        <v>3980</v>
      </c>
      <c r="H39" s="9">
        <f t="shared" si="3"/>
        <v>7760</v>
      </c>
      <c r="I39" s="9">
        <v>0</v>
      </c>
      <c r="J39" s="9">
        <v>7760</v>
      </c>
      <c r="K39" s="10">
        <v>7312</v>
      </c>
    </row>
    <row r="40" spans="1:11" ht="15.75">
      <c r="A40" s="5">
        <v>44230</v>
      </c>
      <c r="B40" s="6" t="s">
        <v>12</v>
      </c>
      <c r="C40" s="7">
        <v>12.83</v>
      </c>
      <c r="D40" s="7">
        <v>7.1</v>
      </c>
      <c r="E40" s="8">
        <v>2300</v>
      </c>
      <c r="F40" s="6">
        <v>1480</v>
      </c>
      <c r="G40" s="6">
        <v>3980</v>
      </c>
      <c r="H40" s="9">
        <f t="shared" si="3"/>
        <v>7760</v>
      </c>
      <c r="I40" s="9">
        <v>0</v>
      </c>
      <c r="J40" s="9">
        <v>7760</v>
      </c>
      <c r="K40" s="10">
        <v>7013</v>
      </c>
    </row>
    <row r="41" spans="1:11" ht="15.75">
      <c r="A41" s="5">
        <v>44231</v>
      </c>
      <c r="B41" s="6" t="s">
        <v>12</v>
      </c>
      <c r="C41" s="7">
        <v>12.79</v>
      </c>
      <c r="D41" s="7">
        <v>6.95</v>
      </c>
      <c r="E41" s="8">
        <v>2300</v>
      </c>
      <c r="F41" s="6">
        <v>1480</v>
      </c>
      <c r="G41" s="6">
        <v>3980</v>
      </c>
      <c r="H41" s="9">
        <f t="shared" si="3"/>
        <v>7760</v>
      </c>
      <c r="I41" s="9">
        <v>0</v>
      </c>
      <c r="J41" s="9">
        <v>7760</v>
      </c>
      <c r="K41" s="10">
        <v>7461</v>
      </c>
    </row>
    <row r="42" spans="1:11" ht="15.75">
      <c r="A42" s="5">
        <v>44232</v>
      </c>
      <c r="B42" s="6" t="s">
        <v>12</v>
      </c>
      <c r="C42" s="7">
        <v>12.7</v>
      </c>
      <c r="D42" s="7">
        <v>6.65</v>
      </c>
      <c r="E42" s="8">
        <v>2300</v>
      </c>
      <c r="F42" s="6">
        <v>1480</v>
      </c>
      <c r="G42" s="6">
        <v>3980</v>
      </c>
      <c r="H42" s="9">
        <f t="shared" si="3"/>
        <v>7760</v>
      </c>
      <c r="I42" s="9">
        <v>0</v>
      </c>
      <c r="J42" s="9">
        <v>7760</v>
      </c>
      <c r="K42" s="9">
        <v>7093</v>
      </c>
    </row>
    <row r="43" spans="1:11" ht="15.75">
      <c r="A43" s="5">
        <v>44233</v>
      </c>
      <c r="B43" s="6" t="s">
        <v>12</v>
      </c>
      <c r="C43" s="7">
        <v>12.64</v>
      </c>
      <c r="D43" s="7">
        <v>6.45</v>
      </c>
      <c r="E43" s="8">
        <v>2250</v>
      </c>
      <c r="F43" s="6">
        <v>1430</v>
      </c>
      <c r="G43" s="6">
        <v>3880</v>
      </c>
      <c r="H43" s="9">
        <f t="shared" si="3"/>
        <v>7560</v>
      </c>
      <c r="I43" s="9">
        <v>0</v>
      </c>
      <c r="J43" s="9">
        <v>7560</v>
      </c>
      <c r="K43" s="10">
        <v>7120</v>
      </c>
    </row>
    <row r="44" spans="1:11" ht="15.75">
      <c r="A44" s="5">
        <v>44234</v>
      </c>
      <c r="B44" s="6" t="s">
        <v>12</v>
      </c>
      <c r="C44" s="7">
        <v>12.59</v>
      </c>
      <c r="D44" s="7">
        <v>6.3</v>
      </c>
      <c r="E44" s="8">
        <v>2250</v>
      </c>
      <c r="F44" s="6">
        <v>1430</v>
      </c>
      <c r="G44" s="6">
        <v>3780</v>
      </c>
      <c r="H44" s="9">
        <f t="shared" si="3"/>
        <v>7460</v>
      </c>
      <c r="I44" s="9">
        <v>0</v>
      </c>
      <c r="J44" s="9">
        <v>7460</v>
      </c>
      <c r="K44" s="10">
        <v>7093</v>
      </c>
    </row>
    <row r="45" spans="1:11" ht="15.75">
      <c r="A45" s="5">
        <v>44235</v>
      </c>
      <c r="B45" s="6" t="s">
        <v>12</v>
      </c>
      <c r="C45" s="7">
        <v>12.56</v>
      </c>
      <c r="D45" s="7">
        <v>6.2</v>
      </c>
      <c r="E45" s="8">
        <v>2200</v>
      </c>
      <c r="F45" s="6">
        <v>1380</v>
      </c>
      <c r="G45" s="6">
        <v>3680</v>
      </c>
      <c r="H45" s="9">
        <f t="shared" si="3"/>
        <v>7260</v>
      </c>
      <c r="I45" s="9">
        <v>0</v>
      </c>
      <c r="J45" s="9">
        <v>7260</v>
      </c>
      <c r="K45" s="10">
        <v>7040</v>
      </c>
    </row>
    <row r="46" spans="1:11" ht="15.75">
      <c r="A46" s="5">
        <v>44236</v>
      </c>
      <c r="B46" s="6" t="s">
        <v>12</v>
      </c>
      <c r="C46" s="7">
        <v>12.53</v>
      </c>
      <c r="D46" s="7">
        <v>6.1</v>
      </c>
      <c r="E46" s="8">
        <v>2100</v>
      </c>
      <c r="F46" s="6">
        <v>1380</v>
      </c>
      <c r="G46" s="6">
        <v>3680</v>
      </c>
      <c r="H46" s="9">
        <f t="shared" si="3"/>
        <v>7160</v>
      </c>
      <c r="I46" s="9">
        <v>0</v>
      </c>
      <c r="J46" s="9">
        <v>7160</v>
      </c>
      <c r="K46" s="10">
        <v>6939</v>
      </c>
    </row>
    <row r="47" spans="1:11" ht="15.75">
      <c r="A47" s="5">
        <v>44237</v>
      </c>
      <c r="B47" s="6" t="s">
        <v>12</v>
      </c>
      <c r="C47" s="7">
        <v>12.48</v>
      </c>
      <c r="D47" s="7">
        <v>5.95</v>
      </c>
      <c r="E47" s="8">
        <v>2100</v>
      </c>
      <c r="F47" s="6">
        <v>1380</v>
      </c>
      <c r="G47" s="6">
        <v>3680</v>
      </c>
      <c r="H47" s="9">
        <f t="shared" si="3"/>
        <v>7160</v>
      </c>
      <c r="I47" s="9">
        <v>0</v>
      </c>
      <c r="J47" s="9">
        <v>7160</v>
      </c>
      <c r="K47" s="10">
        <v>6794</v>
      </c>
    </row>
    <row r="48" spans="1:11" ht="15.75">
      <c r="A48" s="5">
        <v>44238</v>
      </c>
      <c r="B48" s="6" t="s">
        <v>12</v>
      </c>
      <c r="C48" s="7">
        <v>12.48</v>
      </c>
      <c r="D48" s="7">
        <v>5.95</v>
      </c>
      <c r="E48" s="8">
        <v>2100</v>
      </c>
      <c r="F48" s="6">
        <v>1380</v>
      </c>
      <c r="G48" s="6">
        <v>3680</v>
      </c>
      <c r="H48" s="9">
        <f t="shared" si="3"/>
        <v>7160</v>
      </c>
      <c r="I48" s="9">
        <v>0</v>
      </c>
      <c r="J48" s="9">
        <v>7160</v>
      </c>
      <c r="K48" s="10">
        <v>7160</v>
      </c>
    </row>
    <row r="49" spans="1:11" ht="15.75">
      <c r="A49" s="5">
        <v>44239</v>
      </c>
      <c r="B49" s="6" t="s">
        <v>12</v>
      </c>
      <c r="C49" s="7">
        <v>12.47</v>
      </c>
      <c r="D49" s="7">
        <v>5.9</v>
      </c>
      <c r="E49" s="8">
        <v>2100</v>
      </c>
      <c r="F49" s="6">
        <v>1380</v>
      </c>
      <c r="G49" s="6">
        <v>3680</v>
      </c>
      <c r="H49" s="9">
        <f t="shared" si="3"/>
        <v>7160</v>
      </c>
      <c r="I49" s="9">
        <v>0</v>
      </c>
      <c r="J49" s="9">
        <v>7160</v>
      </c>
      <c r="K49" s="10">
        <v>7013</v>
      </c>
    </row>
    <row r="50" spans="1:11" ht="15.75">
      <c r="A50" s="5">
        <v>44240</v>
      </c>
      <c r="B50" s="6" t="s">
        <v>12</v>
      </c>
      <c r="C50" s="7">
        <v>12.42</v>
      </c>
      <c r="D50" s="7">
        <v>5.75</v>
      </c>
      <c r="E50" s="8">
        <v>2100</v>
      </c>
      <c r="F50" s="6">
        <v>1380</v>
      </c>
      <c r="G50" s="6">
        <v>3680</v>
      </c>
      <c r="H50" s="9">
        <f t="shared" si="3"/>
        <v>7160</v>
      </c>
      <c r="I50" s="9">
        <v>0</v>
      </c>
      <c r="J50" s="9">
        <v>7160</v>
      </c>
      <c r="K50" s="10">
        <v>6872</v>
      </c>
    </row>
    <row r="51" spans="1:11" ht="15.75">
      <c r="A51" s="5">
        <v>44241</v>
      </c>
      <c r="B51" s="6" t="s">
        <v>12</v>
      </c>
      <c r="C51" s="7">
        <v>12.36</v>
      </c>
      <c r="D51" s="7">
        <v>5.55</v>
      </c>
      <c r="E51" s="8">
        <v>2100</v>
      </c>
      <c r="F51" s="6">
        <v>1400</v>
      </c>
      <c r="G51" s="6">
        <v>3680</v>
      </c>
      <c r="H51" s="9">
        <f t="shared" si="3"/>
        <v>7180</v>
      </c>
      <c r="I51" s="9">
        <v>0</v>
      </c>
      <c r="J51" s="9">
        <v>7180</v>
      </c>
      <c r="K51" s="10">
        <v>6725</v>
      </c>
    </row>
    <row r="52" spans="1:11" ht="15.75">
      <c r="A52" s="5">
        <v>44242</v>
      </c>
      <c r="B52" s="6" t="s">
        <v>12</v>
      </c>
      <c r="C52" s="7">
        <v>12.33</v>
      </c>
      <c r="D52" s="7">
        <v>5.45</v>
      </c>
      <c r="E52" s="8">
        <v>2000</v>
      </c>
      <c r="F52" s="6">
        <v>1350</v>
      </c>
      <c r="G52" s="6">
        <v>3680</v>
      </c>
      <c r="H52" s="9">
        <f t="shared" si="3"/>
        <v>7030</v>
      </c>
      <c r="I52" s="9">
        <v>0</v>
      </c>
      <c r="J52" s="9">
        <v>7030</v>
      </c>
      <c r="K52" s="10">
        <v>6818</v>
      </c>
    </row>
    <row r="53" spans="1:11" ht="15.75">
      <c r="A53" s="5">
        <v>44243</v>
      </c>
      <c r="B53" s="6" t="s">
        <v>12</v>
      </c>
      <c r="C53" s="7">
        <v>12.3</v>
      </c>
      <c r="D53" s="7">
        <v>5.35</v>
      </c>
      <c r="E53" s="8">
        <v>1950</v>
      </c>
      <c r="F53" s="6">
        <v>1300</v>
      </c>
      <c r="G53" s="6">
        <v>3600</v>
      </c>
      <c r="H53" s="9">
        <f t="shared" si="3"/>
        <v>6850</v>
      </c>
      <c r="I53" s="9">
        <v>0</v>
      </c>
      <c r="J53" s="9">
        <v>6850</v>
      </c>
      <c r="K53" s="10">
        <v>6638</v>
      </c>
    </row>
    <row r="54" spans="1:11" ht="15.75">
      <c r="A54" s="5">
        <v>44244</v>
      </c>
      <c r="B54" s="6" t="s">
        <v>12</v>
      </c>
      <c r="C54" s="7">
        <v>12.3</v>
      </c>
      <c r="D54" s="7">
        <v>5.35</v>
      </c>
      <c r="E54" s="8">
        <v>1920</v>
      </c>
      <c r="F54" s="6">
        <v>1300</v>
      </c>
      <c r="G54" s="6">
        <v>3500</v>
      </c>
      <c r="H54" s="9">
        <f t="shared" si="3"/>
        <v>6720</v>
      </c>
      <c r="I54" s="9">
        <v>0</v>
      </c>
      <c r="J54" s="9">
        <v>6720</v>
      </c>
      <c r="K54" s="10">
        <v>6720</v>
      </c>
    </row>
    <row r="55" spans="1:11" ht="15.75">
      <c r="A55" s="5">
        <v>44245</v>
      </c>
      <c r="B55" s="6" t="s">
        <v>12</v>
      </c>
      <c r="C55" s="7">
        <v>12.3</v>
      </c>
      <c r="D55" s="7">
        <v>5.35</v>
      </c>
      <c r="E55" s="8">
        <v>1900</v>
      </c>
      <c r="F55" s="6">
        <v>1300</v>
      </c>
      <c r="G55" s="6">
        <v>3600</v>
      </c>
      <c r="H55" s="9">
        <f t="shared" si="3"/>
        <v>6800</v>
      </c>
      <c r="I55" s="9">
        <v>0</v>
      </c>
      <c r="J55" s="9">
        <v>6800</v>
      </c>
      <c r="K55" s="10">
        <v>6800</v>
      </c>
    </row>
    <row r="56" spans="1:11" ht="15.75">
      <c r="A56" s="5">
        <v>44246</v>
      </c>
      <c r="B56" s="6" t="s">
        <v>12</v>
      </c>
      <c r="C56" s="7">
        <v>12.31</v>
      </c>
      <c r="D56" s="7">
        <v>5.4</v>
      </c>
      <c r="E56" s="8">
        <v>1900</v>
      </c>
      <c r="F56" s="6">
        <v>1400</v>
      </c>
      <c r="G56" s="6">
        <v>3650</v>
      </c>
      <c r="H56" s="9">
        <f t="shared" si="3"/>
        <v>6950</v>
      </c>
      <c r="I56" s="9">
        <v>0</v>
      </c>
      <c r="J56" s="9">
        <v>6950</v>
      </c>
      <c r="K56" s="10">
        <v>7021</v>
      </c>
    </row>
    <row r="57" spans="1:11" ht="15.75">
      <c r="A57" s="5">
        <v>44247</v>
      </c>
      <c r="B57" s="6" t="s">
        <v>12</v>
      </c>
      <c r="C57" s="7">
        <v>12.31</v>
      </c>
      <c r="D57" s="7">
        <v>5.4</v>
      </c>
      <c r="E57" s="8">
        <v>1900</v>
      </c>
      <c r="F57" s="6">
        <v>1425</v>
      </c>
      <c r="G57" s="6">
        <v>3650</v>
      </c>
      <c r="H57" s="9">
        <f t="shared" si="3"/>
        <v>6975</v>
      </c>
      <c r="I57" s="9">
        <v>0</v>
      </c>
      <c r="J57" s="9">
        <v>6975</v>
      </c>
      <c r="K57" s="10">
        <v>6975</v>
      </c>
    </row>
    <row r="58" spans="1:11" ht="15.75">
      <c r="A58" s="5">
        <v>44248</v>
      </c>
      <c r="B58" s="6" t="s">
        <v>12</v>
      </c>
      <c r="C58" s="7">
        <v>12.31</v>
      </c>
      <c r="D58" s="7">
        <v>5.4</v>
      </c>
      <c r="E58" s="8">
        <v>1900</v>
      </c>
      <c r="F58" s="6">
        <v>1450</v>
      </c>
      <c r="G58" s="6">
        <v>3600</v>
      </c>
      <c r="H58" s="9">
        <f t="shared" si="3"/>
        <v>6950</v>
      </c>
      <c r="I58" s="9">
        <v>0</v>
      </c>
      <c r="J58" s="9">
        <v>6950</v>
      </c>
      <c r="K58" s="10">
        <v>6950</v>
      </c>
    </row>
    <row r="59" spans="1:11" ht="15.75">
      <c r="A59" s="5">
        <v>44249</v>
      </c>
      <c r="B59" s="6" t="s">
        <v>12</v>
      </c>
      <c r="C59" s="7">
        <v>12.4</v>
      </c>
      <c r="D59" s="7">
        <v>5.7</v>
      </c>
      <c r="E59" s="8">
        <v>2050</v>
      </c>
      <c r="F59" s="6">
        <v>1335</v>
      </c>
      <c r="G59" s="6">
        <v>3565</v>
      </c>
      <c r="H59" s="9">
        <f t="shared" si="3"/>
        <v>6950</v>
      </c>
      <c r="I59" s="9">
        <v>0</v>
      </c>
      <c r="J59" s="9">
        <v>6950</v>
      </c>
      <c r="K59" s="10">
        <v>7587</v>
      </c>
    </row>
    <row r="60" spans="1:11" ht="15.75">
      <c r="A60" s="5">
        <v>44250</v>
      </c>
      <c r="B60" s="6" t="s">
        <v>12</v>
      </c>
      <c r="C60" s="7">
        <v>12.45</v>
      </c>
      <c r="D60" s="7">
        <v>5.85</v>
      </c>
      <c r="E60" s="8">
        <v>2050</v>
      </c>
      <c r="F60" s="6">
        <v>1350</v>
      </c>
      <c r="G60" s="6">
        <v>3650</v>
      </c>
      <c r="H60" s="9">
        <f t="shared" si="3"/>
        <v>7050</v>
      </c>
      <c r="I60" s="9">
        <v>0</v>
      </c>
      <c r="J60" s="9">
        <v>7050</v>
      </c>
      <c r="K60" s="10">
        <v>7405</v>
      </c>
    </row>
    <row r="61" spans="1:11" ht="15.75">
      <c r="A61" s="5">
        <v>44251</v>
      </c>
      <c r="B61" s="6" t="s">
        <v>12</v>
      </c>
      <c r="C61" s="7">
        <v>12.47</v>
      </c>
      <c r="D61" s="7">
        <v>5.9</v>
      </c>
      <c r="E61" s="8">
        <v>2150</v>
      </c>
      <c r="F61" s="6">
        <v>1450</v>
      </c>
      <c r="G61" s="6">
        <v>3850</v>
      </c>
      <c r="H61" s="9">
        <f t="shared" si="3"/>
        <v>7450</v>
      </c>
      <c r="I61" s="9">
        <v>0</v>
      </c>
      <c r="J61" s="9">
        <v>7450</v>
      </c>
      <c r="K61" s="10">
        <v>7524</v>
      </c>
    </row>
    <row r="62" spans="1:11" ht="15.75">
      <c r="A62" s="5">
        <v>44252</v>
      </c>
      <c r="B62" s="6" t="s">
        <v>12</v>
      </c>
      <c r="C62" s="7">
        <v>12.47</v>
      </c>
      <c r="D62" s="7">
        <v>5.9</v>
      </c>
      <c r="E62" s="8">
        <v>2150</v>
      </c>
      <c r="F62" s="6">
        <v>1450</v>
      </c>
      <c r="G62" s="6">
        <v>3850</v>
      </c>
      <c r="H62" s="9">
        <f t="shared" si="3"/>
        <v>7450</v>
      </c>
      <c r="I62" s="9">
        <v>0</v>
      </c>
      <c r="J62" s="9">
        <v>7450</v>
      </c>
      <c r="K62" s="10">
        <v>7450</v>
      </c>
    </row>
    <row r="63" spans="1:11" ht="15.75">
      <c r="A63" s="5">
        <v>44253</v>
      </c>
      <c r="B63" s="6" t="s">
        <v>12</v>
      </c>
      <c r="C63" s="7">
        <v>12.47</v>
      </c>
      <c r="D63" s="7">
        <v>5.9</v>
      </c>
      <c r="E63" s="8">
        <v>2150</v>
      </c>
      <c r="F63" s="6">
        <v>1450</v>
      </c>
      <c r="G63" s="6">
        <v>3950</v>
      </c>
      <c r="H63" s="9">
        <f t="shared" si="3"/>
        <v>7550</v>
      </c>
      <c r="I63" s="9">
        <v>0</v>
      </c>
      <c r="J63" s="9">
        <v>7550</v>
      </c>
      <c r="K63" s="10">
        <v>7550</v>
      </c>
    </row>
    <row r="64" spans="1:11" ht="15.75">
      <c r="A64" s="5">
        <v>44254</v>
      </c>
      <c r="B64" s="6" t="s">
        <v>12</v>
      </c>
      <c r="C64" s="7">
        <v>12.47</v>
      </c>
      <c r="D64" s="7">
        <v>5.9</v>
      </c>
      <c r="E64" s="8">
        <v>2150</v>
      </c>
      <c r="F64" s="6">
        <v>1450</v>
      </c>
      <c r="G64" s="6">
        <v>3950</v>
      </c>
      <c r="H64" s="9">
        <f t="shared" si="3"/>
        <v>7550</v>
      </c>
      <c r="I64" s="9">
        <v>0</v>
      </c>
      <c r="J64" s="9">
        <v>7550</v>
      </c>
      <c r="K64" s="9">
        <v>7550</v>
      </c>
    </row>
    <row r="65" spans="1:11" ht="15.75">
      <c r="A65" s="5">
        <v>44255</v>
      </c>
      <c r="B65" s="6" t="s">
        <v>12</v>
      </c>
      <c r="C65" s="7">
        <v>12.47</v>
      </c>
      <c r="D65" s="7">
        <v>5.9</v>
      </c>
      <c r="E65" s="8">
        <v>2200</v>
      </c>
      <c r="F65" s="6">
        <v>1450</v>
      </c>
      <c r="G65" s="6">
        <v>3950</v>
      </c>
      <c r="H65" s="9">
        <f t="shared" si="3"/>
        <v>7600</v>
      </c>
      <c r="I65" s="9">
        <v>0</v>
      </c>
      <c r="J65" s="9">
        <v>7600</v>
      </c>
      <c r="K65" s="9">
        <v>7600</v>
      </c>
    </row>
    <row r="66" spans="1:11" ht="15.75">
      <c r="A66" s="2" t="s">
        <v>13</v>
      </c>
      <c r="B66" s="2"/>
      <c r="C66" s="2"/>
      <c r="D66" s="2"/>
      <c r="E66" s="11">
        <f t="shared" ref="E66:K66" si="4">SUM(E38:E65)</f>
        <v>59170</v>
      </c>
      <c r="F66" s="11">
        <f t="shared" si="4"/>
        <v>39400</v>
      </c>
      <c r="G66" s="11">
        <f t="shared" si="4"/>
        <v>105365</v>
      </c>
      <c r="H66" s="11">
        <f t="shared" si="4"/>
        <v>203935</v>
      </c>
      <c r="I66" s="11">
        <f t="shared" si="4"/>
        <v>0</v>
      </c>
      <c r="J66" s="11">
        <f t="shared" si="4"/>
        <v>203935</v>
      </c>
      <c r="K66" s="11">
        <f t="shared" si="4"/>
        <v>199760</v>
      </c>
    </row>
    <row r="67" spans="1:11" ht="15.75">
      <c r="A67" s="12"/>
      <c r="B67" s="2"/>
      <c r="C67" s="2"/>
      <c r="D67" s="2"/>
      <c r="E67" s="13">
        <f t="shared" ref="E67:K67" si="5">SUM(E66/11575)</f>
        <v>5.111879049676026</v>
      </c>
      <c r="F67" s="13">
        <f t="shared" si="5"/>
        <v>3.4038876889848813</v>
      </c>
      <c r="G67" s="13">
        <f t="shared" si="5"/>
        <v>9.1028077753779701</v>
      </c>
      <c r="H67" s="13">
        <f t="shared" si="5"/>
        <v>17.618574514038876</v>
      </c>
      <c r="I67" s="13">
        <f t="shared" si="5"/>
        <v>0</v>
      </c>
      <c r="J67" s="13">
        <f t="shared" si="5"/>
        <v>17.618574514038876</v>
      </c>
      <c r="K67" s="13">
        <f t="shared" si="5"/>
        <v>17.257883369330454</v>
      </c>
    </row>
    <row r="68" spans="1:11" ht="15.75">
      <c r="A68" s="1" t="s">
        <v>16</v>
      </c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47.25">
      <c r="A69" s="2" t="s">
        <v>1</v>
      </c>
      <c r="B69" s="2" t="s">
        <v>2</v>
      </c>
      <c r="C69" s="3" t="s">
        <v>3</v>
      </c>
      <c r="D69" s="3" t="s">
        <v>4</v>
      </c>
      <c r="E69" s="3" t="s">
        <v>5</v>
      </c>
      <c r="F69" s="3" t="s">
        <v>6</v>
      </c>
      <c r="G69" s="3" t="s">
        <v>7</v>
      </c>
      <c r="H69" s="3" t="s">
        <v>8</v>
      </c>
      <c r="I69" s="3" t="s">
        <v>9</v>
      </c>
      <c r="J69" s="3" t="s">
        <v>10</v>
      </c>
      <c r="K69" s="4" t="s">
        <v>11</v>
      </c>
    </row>
    <row r="70" spans="1:11" ht="15.75">
      <c r="A70" s="5">
        <v>44256</v>
      </c>
      <c r="B70" s="6" t="s">
        <v>12</v>
      </c>
      <c r="C70" s="7">
        <v>12.44</v>
      </c>
      <c r="D70" s="7">
        <v>5.8</v>
      </c>
      <c r="E70" s="8">
        <v>2200</v>
      </c>
      <c r="F70" s="8">
        <v>1450</v>
      </c>
      <c r="G70" s="8">
        <v>3950</v>
      </c>
      <c r="H70" s="9">
        <f t="shared" ref="H70:H100" si="6">E70+F70+G70</f>
        <v>7600</v>
      </c>
      <c r="I70" s="9">
        <v>0</v>
      </c>
      <c r="J70" s="9">
        <v>7600</v>
      </c>
      <c r="K70" s="10">
        <v>7453</v>
      </c>
    </row>
    <row r="71" spans="1:11" ht="15.75">
      <c r="A71" s="5">
        <v>44257</v>
      </c>
      <c r="B71" s="6" t="s">
        <v>12</v>
      </c>
      <c r="C71" s="7">
        <v>12.4</v>
      </c>
      <c r="D71" s="7">
        <v>5.7</v>
      </c>
      <c r="E71" s="8">
        <v>2200</v>
      </c>
      <c r="F71" s="6">
        <v>1450</v>
      </c>
      <c r="G71" s="6">
        <v>3950</v>
      </c>
      <c r="H71" s="9">
        <f t="shared" si="6"/>
        <v>7600</v>
      </c>
      <c r="I71" s="9">
        <v>0</v>
      </c>
      <c r="J71" s="9">
        <v>7600</v>
      </c>
      <c r="K71" s="10">
        <v>7318</v>
      </c>
    </row>
    <row r="72" spans="1:11" ht="15.75">
      <c r="A72" s="5">
        <v>44258</v>
      </c>
      <c r="B72" s="6" t="s">
        <v>12</v>
      </c>
      <c r="C72" s="7">
        <v>12.4</v>
      </c>
      <c r="D72" s="7">
        <v>5.7</v>
      </c>
      <c r="E72" s="8">
        <v>2200</v>
      </c>
      <c r="F72" s="6">
        <v>1450</v>
      </c>
      <c r="G72" s="6">
        <v>3950</v>
      </c>
      <c r="H72" s="9">
        <f t="shared" si="6"/>
        <v>7600</v>
      </c>
      <c r="I72" s="9">
        <v>0</v>
      </c>
      <c r="J72" s="9">
        <v>7600</v>
      </c>
      <c r="K72" s="10">
        <v>7600</v>
      </c>
    </row>
    <row r="73" spans="1:11" ht="15.75">
      <c r="A73" s="5">
        <v>44259</v>
      </c>
      <c r="B73" s="6" t="s">
        <v>12</v>
      </c>
      <c r="C73" s="7">
        <v>12.44</v>
      </c>
      <c r="D73" s="7">
        <v>5.8</v>
      </c>
      <c r="E73" s="8">
        <v>2200</v>
      </c>
      <c r="F73" s="6">
        <v>1450</v>
      </c>
      <c r="G73" s="6">
        <v>3950</v>
      </c>
      <c r="H73" s="9">
        <f t="shared" si="6"/>
        <v>7600</v>
      </c>
      <c r="I73" s="9">
        <v>0</v>
      </c>
      <c r="J73" s="9">
        <v>7600</v>
      </c>
      <c r="K73" s="10">
        <v>7882</v>
      </c>
    </row>
    <row r="74" spans="1:11" ht="15.75">
      <c r="A74" s="5">
        <v>44260</v>
      </c>
      <c r="B74" s="6" t="s">
        <v>12</v>
      </c>
      <c r="C74" s="7">
        <v>12.44</v>
      </c>
      <c r="D74" s="7">
        <v>5.8</v>
      </c>
      <c r="E74" s="8">
        <v>2200</v>
      </c>
      <c r="F74" s="6">
        <v>1450</v>
      </c>
      <c r="G74" s="6">
        <v>3950</v>
      </c>
      <c r="H74" s="9">
        <f t="shared" si="6"/>
        <v>7600</v>
      </c>
      <c r="I74" s="9">
        <v>0</v>
      </c>
      <c r="J74" s="9">
        <v>7600</v>
      </c>
      <c r="K74" s="9">
        <v>7600</v>
      </c>
    </row>
    <row r="75" spans="1:11" ht="15.75">
      <c r="A75" s="5">
        <v>44261</v>
      </c>
      <c r="B75" s="6" t="s">
        <v>12</v>
      </c>
      <c r="C75" s="7">
        <v>12.42</v>
      </c>
      <c r="D75" s="7">
        <v>5.75</v>
      </c>
      <c r="E75" s="8">
        <v>2200</v>
      </c>
      <c r="F75" s="6">
        <v>1450</v>
      </c>
      <c r="G75" s="6">
        <v>3950</v>
      </c>
      <c r="H75" s="9">
        <f t="shared" si="6"/>
        <v>7600</v>
      </c>
      <c r="I75" s="9">
        <v>0</v>
      </c>
      <c r="J75" s="9">
        <v>7600</v>
      </c>
      <c r="K75" s="10">
        <v>7459</v>
      </c>
    </row>
    <row r="76" spans="1:11" ht="15.75">
      <c r="A76" s="5">
        <v>44262</v>
      </c>
      <c r="B76" s="6" t="s">
        <v>12</v>
      </c>
      <c r="C76" s="7">
        <v>12.4</v>
      </c>
      <c r="D76" s="7">
        <v>5.7</v>
      </c>
      <c r="E76" s="8">
        <v>2200</v>
      </c>
      <c r="F76" s="6">
        <v>1450</v>
      </c>
      <c r="G76" s="6">
        <v>3950</v>
      </c>
      <c r="H76" s="9">
        <f t="shared" si="6"/>
        <v>7600</v>
      </c>
      <c r="I76" s="9">
        <v>0</v>
      </c>
      <c r="J76" s="9">
        <v>7600</v>
      </c>
      <c r="K76" s="10">
        <v>7459</v>
      </c>
    </row>
    <row r="77" spans="1:11" ht="15.75">
      <c r="A77" s="5">
        <v>44263</v>
      </c>
      <c r="B77" s="6" t="s">
        <v>12</v>
      </c>
      <c r="C77" s="7">
        <v>12.42</v>
      </c>
      <c r="D77" s="7">
        <v>5.75</v>
      </c>
      <c r="E77" s="8">
        <v>2200</v>
      </c>
      <c r="F77" s="6">
        <v>1450</v>
      </c>
      <c r="G77" s="6">
        <v>3950</v>
      </c>
      <c r="H77" s="9">
        <f t="shared" si="6"/>
        <v>7600</v>
      </c>
      <c r="I77" s="9">
        <v>0</v>
      </c>
      <c r="J77" s="9">
        <v>7600</v>
      </c>
      <c r="K77" s="10">
        <v>7741</v>
      </c>
    </row>
    <row r="78" spans="1:11" ht="15.75">
      <c r="A78" s="5">
        <v>44264</v>
      </c>
      <c r="B78" s="6" t="s">
        <v>12</v>
      </c>
      <c r="C78" s="7">
        <v>12.44</v>
      </c>
      <c r="D78" s="7">
        <v>5.8</v>
      </c>
      <c r="E78" s="8">
        <v>2200</v>
      </c>
      <c r="F78" s="6">
        <v>1450</v>
      </c>
      <c r="G78" s="6">
        <v>3950</v>
      </c>
      <c r="H78" s="9">
        <f t="shared" si="6"/>
        <v>7600</v>
      </c>
      <c r="I78" s="9">
        <v>0</v>
      </c>
      <c r="J78" s="9">
        <v>7600</v>
      </c>
      <c r="K78" s="10">
        <v>7741</v>
      </c>
    </row>
    <row r="79" spans="1:11" ht="15.75">
      <c r="A79" s="5">
        <v>44265</v>
      </c>
      <c r="B79" s="6" t="s">
        <v>12</v>
      </c>
      <c r="C79" s="7">
        <v>12.44</v>
      </c>
      <c r="D79" s="7">
        <v>5.8</v>
      </c>
      <c r="E79" s="8">
        <v>2200</v>
      </c>
      <c r="F79" s="6">
        <v>1450</v>
      </c>
      <c r="G79" s="6">
        <v>3950</v>
      </c>
      <c r="H79" s="9">
        <f t="shared" si="6"/>
        <v>7600</v>
      </c>
      <c r="I79" s="9">
        <v>0</v>
      </c>
      <c r="J79" s="9">
        <v>7600</v>
      </c>
      <c r="K79" s="10">
        <v>7600</v>
      </c>
    </row>
    <row r="80" spans="1:11" ht="15.75">
      <c r="A80" s="5">
        <v>44266</v>
      </c>
      <c r="B80" s="6" t="s">
        <v>12</v>
      </c>
      <c r="C80" s="7">
        <v>12.44</v>
      </c>
      <c r="D80" s="7">
        <v>5.8</v>
      </c>
      <c r="E80" s="8">
        <v>2200</v>
      </c>
      <c r="F80" s="6">
        <v>1450</v>
      </c>
      <c r="G80" s="6">
        <v>3950</v>
      </c>
      <c r="H80" s="9">
        <f t="shared" si="6"/>
        <v>7600</v>
      </c>
      <c r="I80" s="9">
        <v>0</v>
      </c>
      <c r="J80" s="9">
        <v>7600</v>
      </c>
      <c r="K80" s="10">
        <v>7600</v>
      </c>
    </row>
    <row r="81" spans="1:11" ht="15.75">
      <c r="A81" s="5">
        <v>44267</v>
      </c>
      <c r="B81" s="6" t="s">
        <v>12</v>
      </c>
      <c r="C81" s="7">
        <v>12.44</v>
      </c>
      <c r="D81" s="7">
        <v>5.8</v>
      </c>
      <c r="E81" s="8">
        <v>2200</v>
      </c>
      <c r="F81" s="6">
        <v>1450</v>
      </c>
      <c r="G81" s="6">
        <v>3950</v>
      </c>
      <c r="H81" s="9">
        <f t="shared" si="6"/>
        <v>7600</v>
      </c>
      <c r="I81" s="9">
        <v>0</v>
      </c>
      <c r="J81" s="9">
        <v>7600</v>
      </c>
      <c r="K81" s="10">
        <v>7600</v>
      </c>
    </row>
    <row r="82" spans="1:11" ht="15.75">
      <c r="A82" s="5">
        <v>44268</v>
      </c>
      <c r="B82" s="6" t="s">
        <v>12</v>
      </c>
      <c r="C82" s="7">
        <v>12.45</v>
      </c>
      <c r="D82" s="7">
        <v>5.85</v>
      </c>
      <c r="E82" s="8">
        <v>2200</v>
      </c>
      <c r="F82" s="6">
        <v>1450</v>
      </c>
      <c r="G82" s="6">
        <v>3950</v>
      </c>
      <c r="H82" s="9">
        <f t="shared" si="6"/>
        <v>7600</v>
      </c>
      <c r="I82" s="9">
        <v>0</v>
      </c>
      <c r="J82" s="9">
        <v>7600</v>
      </c>
      <c r="K82" s="10">
        <v>7673</v>
      </c>
    </row>
    <row r="83" spans="1:11" ht="15.75">
      <c r="A83" s="5">
        <v>44269</v>
      </c>
      <c r="B83" s="6" t="s">
        <v>12</v>
      </c>
      <c r="C83" s="7">
        <v>12.5</v>
      </c>
      <c r="D83" s="7">
        <v>6</v>
      </c>
      <c r="E83" s="8">
        <v>2260</v>
      </c>
      <c r="F83" s="6">
        <v>1500</v>
      </c>
      <c r="G83" s="6">
        <v>4040</v>
      </c>
      <c r="H83" s="9">
        <f t="shared" si="6"/>
        <v>7800</v>
      </c>
      <c r="I83" s="9">
        <v>0</v>
      </c>
      <c r="J83" s="9">
        <v>7800</v>
      </c>
      <c r="K83" s="10">
        <v>8167</v>
      </c>
    </row>
    <row r="84" spans="1:11" ht="15.75">
      <c r="A84" s="5">
        <v>44270</v>
      </c>
      <c r="B84" s="6" t="s">
        <v>12</v>
      </c>
      <c r="C84" s="7">
        <v>12.53</v>
      </c>
      <c r="D84" s="7">
        <v>6.1</v>
      </c>
      <c r="E84" s="8">
        <v>2310</v>
      </c>
      <c r="F84" s="6">
        <v>1550</v>
      </c>
      <c r="G84" s="6">
        <v>4140</v>
      </c>
      <c r="H84" s="9">
        <f t="shared" si="6"/>
        <v>8000</v>
      </c>
      <c r="I84" s="9">
        <v>0</v>
      </c>
      <c r="J84" s="9">
        <v>8000</v>
      </c>
      <c r="K84" s="10">
        <v>8220</v>
      </c>
    </row>
    <row r="85" spans="1:11" ht="15.75">
      <c r="A85" s="5">
        <v>44271</v>
      </c>
      <c r="B85" s="6" t="s">
        <v>12</v>
      </c>
      <c r="C85" s="7">
        <v>12.53</v>
      </c>
      <c r="D85" s="7">
        <v>6.1</v>
      </c>
      <c r="E85" s="8">
        <v>2310</v>
      </c>
      <c r="F85" s="6">
        <v>1550</v>
      </c>
      <c r="G85" s="6">
        <v>4140</v>
      </c>
      <c r="H85" s="9">
        <f t="shared" si="6"/>
        <v>8000</v>
      </c>
      <c r="I85" s="9">
        <v>0</v>
      </c>
      <c r="J85" s="9">
        <v>8000</v>
      </c>
      <c r="K85" s="10">
        <v>8000</v>
      </c>
    </row>
    <row r="86" spans="1:11" ht="15.75">
      <c r="A86" s="5">
        <v>44272</v>
      </c>
      <c r="B86" s="6" t="s">
        <v>12</v>
      </c>
      <c r="C86" s="7">
        <v>12.48</v>
      </c>
      <c r="D86" s="7">
        <v>5.95</v>
      </c>
      <c r="E86" s="8">
        <v>2310</v>
      </c>
      <c r="F86" s="6">
        <v>1550</v>
      </c>
      <c r="G86" s="6">
        <v>4140</v>
      </c>
      <c r="H86" s="9">
        <f t="shared" si="6"/>
        <v>8000</v>
      </c>
      <c r="I86" s="9">
        <v>0</v>
      </c>
      <c r="J86" s="9">
        <v>8000</v>
      </c>
      <c r="K86" s="10">
        <v>7634</v>
      </c>
    </row>
    <row r="87" spans="1:11" ht="15.75">
      <c r="A87" s="5">
        <v>44273</v>
      </c>
      <c r="B87" s="6" t="s">
        <v>12</v>
      </c>
      <c r="C87" s="7">
        <v>12.45</v>
      </c>
      <c r="D87" s="7">
        <v>5.85</v>
      </c>
      <c r="E87" s="8">
        <v>2310</v>
      </c>
      <c r="F87" s="6">
        <v>1550</v>
      </c>
      <c r="G87" s="6">
        <v>4140</v>
      </c>
      <c r="H87" s="9">
        <f t="shared" si="6"/>
        <v>8000</v>
      </c>
      <c r="I87" s="9">
        <v>0</v>
      </c>
      <c r="J87" s="9">
        <v>8000</v>
      </c>
      <c r="K87" s="10">
        <v>7779</v>
      </c>
    </row>
    <row r="88" spans="1:11" ht="15.75">
      <c r="A88" s="5">
        <v>44274</v>
      </c>
      <c r="B88" s="6" t="s">
        <v>12</v>
      </c>
      <c r="C88" s="7">
        <v>12.44</v>
      </c>
      <c r="D88" s="7">
        <v>5.8</v>
      </c>
      <c r="E88" s="8">
        <v>2310</v>
      </c>
      <c r="F88" s="6">
        <v>1550</v>
      </c>
      <c r="G88" s="6">
        <v>4140</v>
      </c>
      <c r="H88" s="9">
        <f t="shared" si="6"/>
        <v>8000</v>
      </c>
      <c r="I88" s="9">
        <v>0</v>
      </c>
      <c r="J88" s="9">
        <v>8000</v>
      </c>
      <c r="K88" s="10">
        <v>7927</v>
      </c>
    </row>
    <row r="89" spans="1:11" ht="15.75">
      <c r="A89" s="5">
        <v>44275</v>
      </c>
      <c r="B89" s="6" t="s">
        <v>12</v>
      </c>
      <c r="C89" s="7">
        <v>12.47</v>
      </c>
      <c r="D89" s="7">
        <v>5.9</v>
      </c>
      <c r="E89" s="8">
        <v>2310</v>
      </c>
      <c r="F89" s="6">
        <v>1550</v>
      </c>
      <c r="G89" s="6">
        <v>4140</v>
      </c>
      <c r="H89" s="9">
        <f t="shared" si="6"/>
        <v>8000</v>
      </c>
      <c r="I89" s="9">
        <v>0</v>
      </c>
      <c r="J89" s="9">
        <v>8000</v>
      </c>
      <c r="K89" s="10">
        <v>8147</v>
      </c>
    </row>
    <row r="90" spans="1:11" ht="15.75">
      <c r="A90" s="5">
        <v>44276</v>
      </c>
      <c r="B90" s="6" t="s">
        <v>12</v>
      </c>
      <c r="C90" s="7">
        <v>12.48</v>
      </c>
      <c r="D90" s="7">
        <v>5.95</v>
      </c>
      <c r="E90" s="8">
        <v>2310</v>
      </c>
      <c r="F90" s="6">
        <v>1550</v>
      </c>
      <c r="G90" s="6">
        <v>4140</v>
      </c>
      <c r="H90" s="9">
        <f t="shared" si="6"/>
        <v>8000</v>
      </c>
      <c r="I90" s="9">
        <v>0</v>
      </c>
      <c r="J90" s="9">
        <v>8000</v>
      </c>
      <c r="K90" s="10">
        <v>8147</v>
      </c>
    </row>
    <row r="91" spans="1:11" ht="15.75">
      <c r="A91" s="5">
        <v>44277</v>
      </c>
      <c r="B91" s="6" t="s">
        <v>12</v>
      </c>
      <c r="C91" s="7">
        <v>12.48</v>
      </c>
      <c r="D91" s="7">
        <v>5.95</v>
      </c>
      <c r="E91" s="8">
        <v>2310</v>
      </c>
      <c r="F91" s="6">
        <v>1550</v>
      </c>
      <c r="G91" s="6">
        <v>4140</v>
      </c>
      <c r="H91" s="9">
        <f t="shared" si="6"/>
        <v>8000</v>
      </c>
      <c r="I91" s="9">
        <v>0</v>
      </c>
      <c r="J91" s="9">
        <v>8000</v>
      </c>
      <c r="K91" s="10">
        <v>8000</v>
      </c>
    </row>
    <row r="92" spans="1:11" ht="15.75">
      <c r="A92" s="5">
        <v>44278</v>
      </c>
      <c r="B92" s="6" t="s">
        <v>12</v>
      </c>
      <c r="C92" s="7">
        <v>12.45</v>
      </c>
      <c r="D92" s="7">
        <v>5.85</v>
      </c>
      <c r="E92" s="8">
        <v>2310</v>
      </c>
      <c r="F92" s="6">
        <v>1550</v>
      </c>
      <c r="G92" s="6">
        <v>4140</v>
      </c>
      <c r="H92" s="9">
        <f t="shared" si="6"/>
        <v>8000</v>
      </c>
      <c r="I92" s="9">
        <v>0</v>
      </c>
      <c r="J92" s="9">
        <v>8000</v>
      </c>
      <c r="K92" s="10">
        <v>7779</v>
      </c>
    </row>
    <row r="93" spans="1:11" ht="15.75">
      <c r="A93" s="5">
        <v>44279</v>
      </c>
      <c r="B93" s="6" t="s">
        <v>12</v>
      </c>
      <c r="C93" s="7">
        <v>12.4</v>
      </c>
      <c r="D93" s="7">
        <v>5.7</v>
      </c>
      <c r="E93" s="8">
        <v>2150</v>
      </c>
      <c r="F93" s="6">
        <v>1550</v>
      </c>
      <c r="G93" s="6">
        <v>4140</v>
      </c>
      <c r="H93" s="9">
        <f t="shared" si="6"/>
        <v>7840</v>
      </c>
      <c r="I93" s="9">
        <v>0</v>
      </c>
      <c r="J93" s="9">
        <v>7840</v>
      </c>
      <c r="K93" s="10">
        <v>7485</v>
      </c>
    </row>
    <row r="94" spans="1:11" ht="15.75">
      <c r="A94" s="5">
        <v>44280</v>
      </c>
      <c r="B94" s="6" t="s">
        <v>12</v>
      </c>
      <c r="C94" s="7">
        <v>12.44</v>
      </c>
      <c r="D94" s="7">
        <v>5.8</v>
      </c>
      <c r="E94" s="8">
        <v>2150</v>
      </c>
      <c r="F94" s="6">
        <v>1550</v>
      </c>
      <c r="G94" s="6">
        <v>4140</v>
      </c>
      <c r="H94" s="9">
        <f t="shared" si="6"/>
        <v>7840</v>
      </c>
      <c r="I94" s="9">
        <v>0</v>
      </c>
      <c r="J94" s="9">
        <v>7840</v>
      </c>
      <c r="K94" s="10">
        <v>8122</v>
      </c>
    </row>
    <row r="95" spans="1:11" ht="15.75">
      <c r="A95" s="5">
        <v>44281</v>
      </c>
      <c r="B95" s="6" t="s">
        <v>12</v>
      </c>
      <c r="C95" s="7">
        <v>12.44</v>
      </c>
      <c r="D95" s="7">
        <v>5.8</v>
      </c>
      <c r="E95" s="8">
        <v>2260</v>
      </c>
      <c r="F95" s="6">
        <v>1550</v>
      </c>
      <c r="G95" s="6">
        <v>4140</v>
      </c>
      <c r="H95" s="9">
        <f t="shared" si="6"/>
        <v>7950</v>
      </c>
      <c r="I95" s="9">
        <v>0</v>
      </c>
      <c r="J95" s="9">
        <v>7950</v>
      </c>
      <c r="K95" s="10">
        <v>7950</v>
      </c>
    </row>
    <row r="96" spans="1:11" ht="15.75">
      <c r="A96" s="5">
        <v>44282</v>
      </c>
      <c r="B96" s="6" t="s">
        <v>12</v>
      </c>
      <c r="C96" s="7">
        <v>12.47</v>
      </c>
      <c r="D96" s="7">
        <v>5.9</v>
      </c>
      <c r="E96" s="8">
        <v>2260</v>
      </c>
      <c r="F96" s="6">
        <v>1600</v>
      </c>
      <c r="G96" s="6">
        <v>4140</v>
      </c>
      <c r="H96" s="9">
        <f t="shared" si="6"/>
        <v>8000</v>
      </c>
      <c r="I96" s="9">
        <v>0</v>
      </c>
      <c r="J96" s="9">
        <v>8000</v>
      </c>
      <c r="K96" s="9">
        <v>8147</v>
      </c>
    </row>
    <row r="97" spans="1:11" ht="15.75">
      <c r="A97" s="5">
        <v>44283</v>
      </c>
      <c r="B97" s="6" t="s">
        <v>12</v>
      </c>
      <c r="C97" s="7">
        <v>12.44</v>
      </c>
      <c r="D97" s="7">
        <v>5.8</v>
      </c>
      <c r="E97" s="8">
        <v>2260</v>
      </c>
      <c r="F97" s="6">
        <v>1650</v>
      </c>
      <c r="G97" s="6">
        <v>4140</v>
      </c>
      <c r="H97" s="9">
        <f t="shared" si="6"/>
        <v>8050</v>
      </c>
      <c r="I97" s="9">
        <v>0</v>
      </c>
      <c r="J97" s="9">
        <v>8050</v>
      </c>
      <c r="K97" s="9">
        <v>7903</v>
      </c>
    </row>
    <row r="98" spans="1:11" ht="15.75">
      <c r="A98" s="5">
        <v>44284</v>
      </c>
      <c r="B98" s="6" t="s">
        <v>12</v>
      </c>
      <c r="C98" s="7">
        <v>12.39</v>
      </c>
      <c r="D98" s="7">
        <v>5.65</v>
      </c>
      <c r="E98" s="8">
        <v>2160</v>
      </c>
      <c r="F98" s="6">
        <v>1600</v>
      </c>
      <c r="G98" s="6">
        <v>4140</v>
      </c>
      <c r="H98" s="9">
        <f t="shared" si="6"/>
        <v>7900</v>
      </c>
      <c r="I98" s="9">
        <v>0</v>
      </c>
      <c r="J98" s="9">
        <v>7900</v>
      </c>
      <c r="K98" s="9">
        <v>7546</v>
      </c>
    </row>
    <row r="99" spans="1:11" ht="15.75">
      <c r="A99" s="5">
        <v>44285</v>
      </c>
      <c r="B99" s="6" t="s">
        <v>12</v>
      </c>
      <c r="C99" s="7">
        <v>12.36</v>
      </c>
      <c r="D99" s="7">
        <v>5.55</v>
      </c>
      <c r="E99" s="8">
        <v>2110</v>
      </c>
      <c r="F99" s="6">
        <v>1550</v>
      </c>
      <c r="G99" s="6">
        <v>4140</v>
      </c>
      <c r="H99" s="9">
        <f t="shared" si="6"/>
        <v>7800</v>
      </c>
      <c r="I99" s="9">
        <v>0</v>
      </c>
      <c r="J99" s="9">
        <v>7800</v>
      </c>
      <c r="K99" s="9">
        <v>7588</v>
      </c>
    </row>
    <row r="100" spans="1:11" ht="15.75">
      <c r="A100" s="5">
        <v>44286</v>
      </c>
      <c r="B100" s="6" t="s">
        <v>12</v>
      </c>
      <c r="C100" s="7">
        <v>12.38</v>
      </c>
      <c r="D100" s="7">
        <v>5.6</v>
      </c>
      <c r="E100" s="8">
        <v>2110</v>
      </c>
      <c r="F100" s="6">
        <v>1550</v>
      </c>
      <c r="G100" s="6">
        <v>4140</v>
      </c>
      <c r="H100" s="9">
        <f t="shared" si="6"/>
        <v>7800</v>
      </c>
      <c r="I100" s="9">
        <v>0</v>
      </c>
      <c r="J100" s="9">
        <v>7800</v>
      </c>
      <c r="K100" s="9">
        <v>7941</v>
      </c>
    </row>
    <row r="101" spans="1:11" ht="15.75">
      <c r="A101" s="2" t="s">
        <v>13</v>
      </c>
      <c r="B101" s="2"/>
      <c r="C101" s="2"/>
      <c r="D101" s="2"/>
      <c r="E101" s="11">
        <f t="shared" ref="E101:K101" si="7">SUM(E70:E100)</f>
        <v>69110</v>
      </c>
      <c r="F101" s="11">
        <f t="shared" si="7"/>
        <v>46900</v>
      </c>
      <c r="G101" s="11">
        <f t="shared" si="7"/>
        <v>125770</v>
      </c>
      <c r="H101" s="11">
        <f t="shared" si="7"/>
        <v>241780</v>
      </c>
      <c r="I101" s="11">
        <f t="shared" si="7"/>
        <v>0</v>
      </c>
      <c r="J101" s="11">
        <f t="shared" si="7"/>
        <v>241780</v>
      </c>
      <c r="K101" s="11">
        <f t="shared" si="7"/>
        <v>241208</v>
      </c>
    </row>
    <row r="102" spans="1:11" ht="15.75">
      <c r="A102" s="12"/>
      <c r="B102" s="2"/>
      <c r="C102" s="2"/>
      <c r="D102" s="2"/>
      <c r="E102" s="13">
        <f t="shared" ref="E102:K102" si="8">SUM(E101/11575)</f>
        <v>5.9706263498920089</v>
      </c>
      <c r="F102" s="13">
        <f t="shared" si="8"/>
        <v>4.0518358531317498</v>
      </c>
      <c r="G102" s="13">
        <f t="shared" si="8"/>
        <v>10.865658747300216</v>
      </c>
      <c r="H102" s="13">
        <f t="shared" si="8"/>
        <v>20.888120950323973</v>
      </c>
      <c r="I102" s="13">
        <f t="shared" si="8"/>
        <v>0</v>
      </c>
      <c r="J102" s="13">
        <f t="shared" si="8"/>
        <v>20.888120950323973</v>
      </c>
      <c r="K102" s="13">
        <f t="shared" si="8"/>
        <v>20.838704103671706</v>
      </c>
    </row>
    <row r="103" spans="1:11" ht="15.75">
      <c r="A103" s="1" t="s">
        <v>17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47.25">
      <c r="A104" s="2" t="s">
        <v>1</v>
      </c>
      <c r="B104" s="2" t="s">
        <v>2</v>
      </c>
      <c r="C104" s="3" t="s">
        <v>18</v>
      </c>
      <c r="D104" s="3" t="s">
        <v>4</v>
      </c>
      <c r="E104" s="3" t="s">
        <v>5</v>
      </c>
      <c r="F104" s="3" t="s">
        <v>6</v>
      </c>
      <c r="G104" s="3" t="s">
        <v>7</v>
      </c>
      <c r="H104" s="3" t="s">
        <v>8</v>
      </c>
      <c r="I104" s="3" t="s">
        <v>9</v>
      </c>
      <c r="J104" s="3" t="s">
        <v>19</v>
      </c>
      <c r="K104" s="4" t="s">
        <v>11</v>
      </c>
    </row>
    <row r="105" spans="1:11" ht="15.75">
      <c r="A105" s="5">
        <v>44287</v>
      </c>
      <c r="B105" s="6" t="s">
        <v>12</v>
      </c>
      <c r="C105" s="7">
        <v>12.41</v>
      </c>
      <c r="D105" s="7">
        <v>5.7</v>
      </c>
      <c r="E105" s="8">
        <v>2160</v>
      </c>
      <c r="F105" s="8">
        <v>1600</v>
      </c>
      <c r="G105" s="8">
        <v>4140</v>
      </c>
      <c r="H105" s="9">
        <f t="shared" ref="H105:H134" si="9">E105+F105+G105</f>
        <v>7900</v>
      </c>
      <c r="I105" s="9">
        <v>0</v>
      </c>
      <c r="J105" s="9">
        <v>7900</v>
      </c>
      <c r="K105" s="10">
        <v>8042</v>
      </c>
    </row>
    <row r="106" spans="1:11" ht="15.75">
      <c r="A106" s="5">
        <v>44288</v>
      </c>
      <c r="B106" s="6" t="s">
        <v>12</v>
      </c>
      <c r="C106" s="7">
        <v>12.41</v>
      </c>
      <c r="D106" s="7">
        <v>5.7</v>
      </c>
      <c r="E106" s="8">
        <v>2160</v>
      </c>
      <c r="F106" s="6">
        <v>1600</v>
      </c>
      <c r="G106" s="6">
        <v>4140</v>
      </c>
      <c r="H106" s="9">
        <f t="shared" si="9"/>
        <v>7900</v>
      </c>
      <c r="I106" s="9">
        <v>0</v>
      </c>
      <c r="J106" s="9">
        <v>7900</v>
      </c>
      <c r="K106" s="10">
        <v>7900</v>
      </c>
    </row>
    <row r="107" spans="1:11" ht="15.75">
      <c r="A107" s="5">
        <v>44289</v>
      </c>
      <c r="B107" s="6" t="s">
        <v>12</v>
      </c>
      <c r="C107" s="7">
        <v>12.38</v>
      </c>
      <c r="D107" s="7">
        <v>5.6</v>
      </c>
      <c r="E107" s="8">
        <v>2160</v>
      </c>
      <c r="F107" s="6">
        <v>1600</v>
      </c>
      <c r="G107" s="6">
        <v>4140</v>
      </c>
      <c r="H107" s="9">
        <f t="shared" si="9"/>
        <v>7900</v>
      </c>
      <c r="I107" s="9">
        <v>0</v>
      </c>
      <c r="J107" s="9">
        <v>7900</v>
      </c>
      <c r="K107" s="10">
        <v>7758</v>
      </c>
    </row>
    <row r="108" spans="1:11" ht="15.75">
      <c r="A108" s="5">
        <v>44290</v>
      </c>
      <c r="B108" s="6" t="s">
        <v>12</v>
      </c>
      <c r="C108" s="7">
        <v>12.35</v>
      </c>
      <c r="D108" s="7">
        <v>5.5</v>
      </c>
      <c r="E108" s="8">
        <v>2100</v>
      </c>
      <c r="F108" s="6">
        <v>1560</v>
      </c>
      <c r="G108" s="6">
        <v>4140</v>
      </c>
      <c r="H108" s="9">
        <f t="shared" si="9"/>
        <v>7800</v>
      </c>
      <c r="I108" s="9">
        <v>0</v>
      </c>
      <c r="J108" s="9">
        <v>7800</v>
      </c>
      <c r="K108" s="10">
        <v>7588</v>
      </c>
    </row>
    <row r="109" spans="1:11" ht="15.75">
      <c r="A109" s="5">
        <v>44291</v>
      </c>
      <c r="B109" s="6" t="s">
        <v>12</v>
      </c>
      <c r="C109" s="7">
        <v>12.31</v>
      </c>
      <c r="D109" s="7">
        <v>5.4</v>
      </c>
      <c r="E109" s="8">
        <v>2100</v>
      </c>
      <c r="F109" s="6">
        <v>1500</v>
      </c>
      <c r="G109" s="6">
        <v>4140</v>
      </c>
      <c r="H109" s="9">
        <f t="shared" si="9"/>
        <v>7740</v>
      </c>
      <c r="I109" s="9">
        <v>0</v>
      </c>
      <c r="J109" s="9">
        <v>7740</v>
      </c>
      <c r="K109" s="9">
        <v>7458</v>
      </c>
    </row>
    <row r="110" spans="1:11" ht="15.75">
      <c r="A110" s="5">
        <v>44292</v>
      </c>
      <c r="B110" s="6" t="s">
        <v>12</v>
      </c>
      <c r="C110" s="7">
        <v>12.22</v>
      </c>
      <c r="D110" s="7">
        <v>5.0999999999999996</v>
      </c>
      <c r="E110" s="8">
        <v>1830</v>
      </c>
      <c r="F110" s="6">
        <v>1400</v>
      </c>
      <c r="G110" s="6">
        <v>4000</v>
      </c>
      <c r="H110" s="9">
        <f t="shared" si="9"/>
        <v>7230</v>
      </c>
      <c r="I110" s="9">
        <v>0</v>
      </c>
      <c r="J110" s="9">
        <v>7230</v>
      </c>
      <c r="K110" s="10">
        <v>6595</v>
      </c>
    </row>
    <row r="111" spans="1:11" ht="15.75">
      <c r="A111" s="5">
        <v>44293</v>
      </c>
      <c r="B111" s="6" t="s">
        <v>12</v>
      </c>
      <c r="C111" s="7">
        <v>12.16</v>
      </c>
      <c r="D111" s="7">
        <v>4.9000000000000004</v>
      </c>
      <c r="E111" s="8">
        <v>1750</v>
      </c>
      <c r="F111" s="6">
        <v>1400</v>
      </c>
      <c r="G111" s="6">
        <v>3800</v>
      </c>
      <c r="H111" s="9">
        <f t="shared" si="9"/>
        <v>6950</v>
      </c>
      <c r="I111" s="9">
        <v>0</v>
      </c>
      <c r="J111" s="9">
        <v>6950</v>
      </c>
      <c r="K111" s="10">
        <v>6529</v>
      </c>
    </row>
    <row r="112" spans="1:11" ht="15.75">
      <c r="A112" s="5">
        <v>44294</v>
      </c>
      <c r="B112" s="6" t="s">
        <v>12</v>
      </c>
      <c r="C112" s="7">
        <v>12.1</v>
      </c>
      <c r="D112" s="7">
        <v>4.7</v>
      </c>
      <c r="E112" s="8">
        <v>1610</v>
      </c>
      <c r="F112" s="6">
        <v>1300</v>
      </c>
      <c r="G112" s="6">
        <v>3750</v>
      </c>
      <c r="H112" s="9">
        <f t="shared" si="9"/>
        <v>6660</v>
      </c>
      <c r="I112" s="9">
        <v>0</v>
      </c>
      <c r="J112" s="9">
        <v>6660</v>
      </c>
      <c r="K112" s="10">
        <v>6250</v>
      </c>
    </row>
    <row r="113" spans="1:11" ht="15.75">
      <c r="A113" s="5">
        <v>44295</v>
      </c>
      <c r="B113" s="6" t="s">
        <v>12</v>
      </c>
      <c r="C113" s="7">
        <v>12.04</v>
      </c>
      <c r="D113" s="7">
        <v>4.5</v>
      </c>
      <c r="E113" s="8">
        <v>1460</v>
      </c>
      <c r="F113" s="6">
        <v>1200</v>
      </c>
      <c r="G113" s="6">
        <v>3600</v>
      </c>
      <c r="H113" s="9">
        <f t="shared" si="9"/>
        <v>6260</v>
      </c>
      <c r="I113" s="9">
        <v>0</v>
      </c>
      <c r="J113" s="9">
        <v>6260</v>
      </c>
      <c r="K113" s="10">
        <v>5862</v>
      </c>
    </row>
    <row r="114" spans="1:11" ht="15.75">
      <c r="A114" s="5">
        <v>44296</v>
      </c>
      <c r="B114" s="6" t="s">
        <v>12</v>
      </c>
      <c r="C114" s="7">
        <v>12</v>
      </c>
      <c r="D114" s="7">
        <v>4.3499999999999996</v>
      </c>
      <c r="E114" s="8">
        <v>1000</v>
      </c>
      <c r="F114" s="6">
        <v>1150</v>
      </c>
      <c r="G114" s="6">
        <v>2350</v>
      </c>
      <c r="H114" s="9">
        <f t="shared" si="9"/>
        <v>4500</v>
      </c>
      <c r="I114" s="9">
        <v>0</v>
      </c>
      <c r="J114" s="9">
        <v>4500</v>
      </c>
      <c r="K114" s="10">
        <v>4233</v>
      </c>
    </row>
    <row r="115" spans="1:11" ht="15.75">
      <c r="A115" s="5">
        <v>44297</v>
      </c>
      <c r="B115" s="6" t="s">
        <v>12</v>
      </c>
      <c r="C115" s="7">
        <v>11.95</v>
      </c>
      <c r="D115" s="7">
        <v>4.2</v>
      </c>
      <c r="E115" s="8">
        <v>1000</v>
      </c>
      <c r="F115" s="6">
        <v>1150</v>
      </c>
      <c r="G115" s="6">
        <v>2350</v>
      </c>
      <c r="H115" s="9">
        <f t="shared" si="9"/>
        <v>4500</v>
      </c>
      <c r="I115" s="9">
        <v>0</v>
      </c>
      <c r="J115" s="9">
        <v>4500</v>
      </c>
      <c r="K115" s="10">
        <v>4178</v>
      </c>
    </row>
    <row r="116" spans="1:11" ht="15.75">
      <c r="A116" s="5">
        <v>44298</v>
      </c>
      <c r="B116" s="6" t="s">
        <v>12</v>
      </c>
      <c r="C116" s="7">
        <v>11.95</v>
      </c>
      <c r="D116" s="7">
        <v>4.2</v>
      </c>
      <c r="E116" s="8">
        <v>1000</v>
      </c>
      <c r="F116" s="6">
        <v>1150</v>
      </c>
      <c r="G116" s="6">
        <v>2350</v>
      </c>
      <c r="H116" s="9">
        <f t="shared" si="9"/>
        <v>4500</v>
      </c>
      <c r="I116" s="9">
        <v>0</v>
      </c>
      <c r="J116" s="9">
        <v>4500</v>
      </c>
      <c r="K116" s="10">
        <v>4500</v>
      </c>
    </row>
    <row r="117" spans="1:11" ht="15.75">
      <c r="A117" s="5">
        <v>44299</v>
      </c>
      <c r="B117" s="6" t="s">
        <v>12</v>
      </c>
      <c r="C117" s="7">
        <v>11.92</v>
      </c>
      <c r="D117" s="7">
        <v>4.0999999999999996</v>
      </c>
      <c r="E117" s="8">
        <v>1000</v>
      </c>
      <c r="F117" s="6">
        <v>1150</v>
      </c>
      <c r="G117" s="6">
        <v>2350</v>
      </c>
      <c r="H117" s="9">
        <f t="shared" si="9"/>
        <v>4500</v>
      </c>
      <c r="I117" s="9">
        <v>0</v>
      </c>
      <c r="J117" s="9">
        <v>4500</v>
      </c>
      <c r="K117" s="10">
        <v>4301</v>
      </c>
    </row>
    <row r="118" spans="1:11" ht="15.75">
      <c r="A118" s="5">
        <v>44300</v>
      </c>
      <c r="B118" s="6" t="s">
        <v>12</v>
      </c>
      <c r="C118" s="7">
        <v>11.95</v>
      </c>
      <c r="D118" s="7">
        <v>4.2</v>
      </c>
      <c r="E118" s="8">
        <v>1000</v>
      </c>
      <c r="F118" s="6">
        <v>1150</v>
      </c>
      <c r="G118" s="6">
        <v>2350</v>
      </c>
      <c r="H118" s="9">
        <f t="shared" si="9"/>
        <v>4500</v>
      </c>
      <c r="I118" s="9">
        <v>0</v>
      </c>
      <c r="J118" s="9">
        <v>4500</v>
      </c>
      <c r="K118" s="10">
        <v>4699</v>
      </c>
    </row>
    <row r="119" spans="1:11" ht="15.75">
      <c r="A119" s="5">
        <v>44301</v>
      </c>
      <c r="B119" s="6" t="s">
        <v>12</v>
      </c>
      <c r="C119" s="7">
        <v>12.01</v>
      </c>
      <c r="D119" s="7">
        <v>4.4000000000000004</v>
      </c>
      <c r="E119" s="8">
        <v>900</v>
      </c>
      <c r="F119" s="6">
        <v>1000</v>
      </c>
      <c r="G119" s="6">
        <v>1700</v>
      </c>
      <c r="H119" s="9">
        <f t="shared" si="9"/>
        <v>3600</v>
      </c>
      <c r="I119" s="9">
        <v>0</v>
      </c>
      <c r="J119" s="9">
        <v>3600</v>
      </c>
      <c r="K119" s="10">
        <v>5358</v>
      </c>
    </row>
    <row r="120" spans="1:11" ht="15.75">
      <c r="A120" s="5">
        <v>44302</v>
      </c>
      <c r="B120" s="6" t="s">
        <v>12</v>
      </c>
      <c r="C120" s="7">
        <v>12.1</v>
      </c>
      <c r="D120" s="7">
        <v>4.7</v>
      </c>
      <c r="E120" s="8">
        <v>1000</v>
      </c>
      <c r="F120" s="6">
        <v>1150</v>
      </c>
      <c r="G120" s="6">
        <v>2200</v>
      </c>
      <c r="H120" s="9">
        <f t="shared" si="9"/>
        <v>4350</v>
      </c>
      <c r="I120" s="9">
        <v>0</v>
      </c>
      <c r="J120" s="9">
        <v>4350</v>
      </c>
      <c r="K120" s="10">
        <v>4948</v>
      </c>
    </row>
    <row r="121" spans="1:11" ht="15.75">
      <c r="A121" s="5">
        <v>44303</v>
      </c>
      <c r="B121" s="6" t="s">
        <v>12</v>
      </c>
      <c r="C121" s="7">
        <v>12.22</v>
      </c>
      <c r="D121" s="7">
        <v>5.0999999999999996</v>
      </c>
      <c r="E121" s="8">
        <v>0</v>
      </c>
      <c r="F121" s="6">
        <v>1300</v>
      </c>
      <c r="G121" s="6">
        <v>1500</v>
      </c>
      <c r="H121" s="9">
        <f t="shared" si="9"/>
        <v>2800</v>
      </c>
      <c r="I121" s="9">
        <v>0</v>
      </c>
      <c r="J121" s="9">
        <v>2800</v>
      </c>
      <c r="K121" s="10">
        <v>3631</v>
      </c>
    </row>
    <row r="122" spans="1:11" ht="15.75">
      <c r="A122" s="5">
        <v>44304</v>
      </c>
      <c r="B122" s="6" t="s">
        <v>12</v>
      </c>
      <c r="C122" s="7">
        <v>12.48</v>
      </c>
      <c r="D122" s="7">
        <v>5.95</v>
      </c>
      <c r="E122" s="8">
        <v>0</v>
      </c>
      <c r="F122" s="6">
        <v>1750</v>
      </c>
      <c r="G122" s="6">
        <v>1500</v>
      </c>
      <c r="H122" s="9">
        <f t="shared" si="9"/>
        <v>3250</v>
      </c>
      <c r="I122" s="9">
        <v>0</v>
      </c>
      <c r="J122" s="9">
        <v>3250</v>
      </c>
      <c r="K122" s="10">
        <v>5099</v>
      </c>
    </row>
    <row r="123" spans="1:11" ht="15.75">
      <c r="A123" s="5">
        <v>44305</v>
      </c>
      <c r="B123" s="6" t="s">
        <v>12</v>
      </c>
      <c r="C123" s="7">
        <v>12.71</v>
      </c>
      <c r="D123" s="7">
        <v>6.7</v>
      </c>
      <c r="E123" s="8">
        <v>0</v>
      </c>
      <c r="F123" s="6">
        <v>1400</v>
      </c>
      <c r="G123" s="6">
        <v>1500</v>
      </c>
      <c r="H123" s="9">
        <f t="shared" si="9"/>
        <v>2900</v>
      </c>
      <c r="I123" s="9">
        <v>0</v>
      </c>
      <c r="J123" s="9">
        <v>2900</v>
      </c>
      <c r="K123" s="10">
        <v>4588</v>
      </c>
    </row>
    <row r="124" spans="1:11" ht="15.75">
      <c r="A124" s="5">
        <v>44306</v>
      </c>
      <c r="B124" s="6" t="s">
        <v>12</v>
      </c>
      <c r="C124" s="7">
        <v>12.96</v>
      </c>
      <c r="D124" s="7">
        <v>7.5</v>
      </c>
      <c r="E124" s="8">
        <v>0</v>
      </c>
      <c r="F124" s="6">
        <v>1000</v>
      </c>
      <c r="G124" s="6">
        <v>0</v>
      </c>
      <c r="H124" s="9">
        <f t="shared" si="9"/>
        <v>1000</v>
      </c>
      <c r="I124" s="9">
        <v>0</v>
      </c>
      <c r="J124" s="9">
        <v>1000</v>
      </c>
      <c r="K124" s="10">
        <v>2861</v>
      </c>
    </row>
    <row r="125" spans="1:11" ht="15.75">
      <c r="A125" s="5">
        <v>44307</v>
      </c>
      <c r="B125" s="6" t="s">
        <v>12</v>
      </c>
      <c r="C125" s="7">
        <v>13.2</v>
      </c>
      <c r="D125" s="7">
        <v>8.3000000000000007</v>
      </c>
      <c r="E125" s="8">
        <v>500</v>
      </c>
      <c r="F125" s="6">
        <v>500</v>
      </c>
      <c r="G125" s="6">
        <v>0</v>
      </c>
      <c r="H125" s="9">
        <f t="shared" si="9"/>
        <v>1000</v>
      </c>
      <c r="I125" s="9">
        <v>0</v>
      </c>
      <c r="J125" s="9">
        <v>1000</v>
      </c>
      <c r="K125" s="10">
        <v>2811</v>
      </c>
    </row>
    <row r="126" spans="1:11" ht="15.75">
      <c r="A126" s="5">
        <v>44308</v>
      </c>
      <c r="B126" s="6" t="s">
        <v>12</v>
      </c>
      <c r="C126" s="7">
        <v>13.38</v>
      </c>
      <c r="D126" s="7">
        <v>8.9</v>
      </c>
      <c r="E126" s="8">
        <v>800</v>
      </c>
      <c r="F126" s="6">
        <v>500</v>
      </c>
      <c r="G126" s="6">
        <v>0</v>
      </c>
      <c r="H126" s="9">
        <f t="shared" si="9"/>
        <v>1300</v>
      </c>
      <c r="I126" s="9">
        <v>0</v>
      </c>
      <c r="J126" s="9">
        <v>1300</v>
      </c>
      <c r="K126" s="10">
        <v>2672</v>
      </c>
    </row>
    <row r="127" spans="1:11" ht="15.75">
      <c r="A127" s="5">
        <v>44309</v>
      </c>
      <c r="B127" s="6" t="s">
        <v>12</v>
      </c>
      <c r="C127" s="7">
        <v>13.53</v>
      </c>
      <c r="D127" s="7">
        <v>9.4</v>
      </c>
      <c r="E127" s="8">
        <v>800</v>
      </c>
      <c r="F127" s="6">
        <v>500</v>
      </c>
      <c r="G127" s="6">
        <v>500</v>
      </c>
      <c r="H127" s="9">
        <f t="shared" si="9"/>
        <v>1800</v>
      </c>
      <c r="I127" s="9">
        <v>0</v>
      </c>
      <c r="J127" s="9">
        <v>1800</v>
      </c>
      <c r="K127" s="10">
        <v>2958</v>
      </c>
    </row>
    <row r="128" spans="1:11" ht="15.75">
      <c r="A128" s="5">
        <v>44310</v>
      </c>
      <c r="B128" s="6" t="s">
        <v>12</v>
      </c>
      <c r="C128" s="7">
        <v>13.69</v>
      </c>
      <c r="D128" s="7">
        <v>9.9</v>
      </c>
      <c r="E128" s="8">
        <v>500</v>
      </c>
      <c r="F128" s="6">
        <v>500</v>
      </c>
      <c r="G128" s="6">
        <v>800</v>
      </c>
      <c r="H128" s="9">
        <f t="shared" si="9"/>
        <v>1800</v>
      </c>
      <c r="I128" s="9">
        <v>0</v>
      </c>
      <c r="J128" s="9">
        <v>1800</v>
      </c>
      <c r="K128" s="10">
        <v>3034</v>
      </c>
    </row>
    <row r="129" spans="1:11" ht="15.75">
      <c r="A129" s="5">
        <v>44311</v>
      </c>
      <c r="B129" s="6" t="s">
        <v>12</v>
      </c>
      <c r="C129" s="7">
        <v>13.84</v>
      </c>
      <c r="D129" s="7">
        <v>10.4</v>
      </c>
      <c r="E129" s="8">
        <v>500</v>
      </c>
      <c r="F129" s="6">
        <v>500</v>
      </c>
      <c r="G129" s="6">
        <v>800</v>
      </c>
      <c r="H129" s="9">
        <f t="shared" si="9"/>
        <v>1800</v>
      </c>
      <c r="I129" s="9">
        <v>0</v>
      </c>
      <c r="J129" s="9">
        <v>1800</v>
      </c>
      <c r="K129" s="10">
        <v>2958</v>
      </c>
    </row>
    <row r="130" spans="1:11" ht="15.75">
      <c r="A130" s="5">
        <v>44312</v>
      </c>
      <c r="B130" s="6" t="s">
        <v>12</v>
      </c>
      <c r="C130" s="7">
        <v>13.96</v>
      </c>
      <c r="D130" s="7">
        <v>10.8</v>
      </c>
      <c r="E130" s="8">
        <v>800</v>
      </c>
      <c r="F130" s="6">
        <v>300</v>
      </c>
      <c r="G130" s="6">
        <v>800</v>
      </c>
      <c r="H130" s="9">
        <f t="shared" si="9"/>
        <v>1900</v>
      </c>
      <c r="I130" s="9">
        <v>0</v>
      </c>
      <c r="J130" s="9">
        <v>1900</v>
      </c>
      <c r="K130" s="10">
        <v>2826</v>
      </c>
    </row>
    <row r="131" spans="1:11" ht="15.75">
      <c r="A131" s="5">
        <v>44313</v>
      </c>
      <c r="B131" s="6" t="s">
        <v>12</v>
      </c>
      <c r="C131" s="7">
        <v>13.99</v>
      </c>
      <c r="D131" s="7">
        <v>10.9</v>
      </c>
      <c r="E131" s="8">
        <v>700</v>
      </c>
      <c r="F131" s="6">
        <v>300</v>
      </c>
      <c r="G131" s="6">
        <v>800</v>
      </c>
      <c r="H131" s="9">
        <f t="shared" si="9"/>
        <v>1800</v>
      </c>
      <c r="I131" s="9">
        <v>2549</v>
      </c>
      <c r="J131" s="9">
        <v>4349</v>
      </c>
      <c r="K131" s="9">
        <v>4581</v>
      </c>
    </row>
    <row r="132" spans="1:11" ht="15.75">
      <c r="A132" s="5">
        <v>44314</v>
      </c>
      <c r="B132" s="6" t="s">
        <v>12</v>
      </c>
      <c r="C132" s="7">
        <v>13.99</v>
      </c>
      <c r="D132" s="7">
        <v>10.9</v>
      </c>
      <c r="E132" s="8">
        <v>800</v>
      </c>
      <c r="F132" s="6">
        <v>0</v>
      </c>
      <c r="G132" s="6">
        <v>800</v>
      </c>
      <c r="H132" s="9">
        <f t="shared" si="9"/>
        <v>1600</v>
      </c>
      <c r="I132" s="9">
        <v>2548</v>
      </c>
      <c r="J132" s="9">
        <v>4148</v>
      </c>
      <c r="K132" s="9">
        <v>4148</v>
      </c>
    </row>
    <row r="133" spans="1:11" ht="15.75">
      <c r="A133" s="5">
        <v>44315</v>
      </c>
      <c r="B133" s="6" t="s">
        <v>12</v>
      </c>
      <c r="C133" s="7">
        <v>13.98</v>
      </c>
      <c r="D133" s="7">
        <v>10.85</v>
      </c>
      <c r="E133" s="8">
        <v>800</v>
      </c>
      <c r="F133" s="6">
        <v>0</v>
      </c>
      <c r="G133" s="6">
        <v>800</v>
      </c>
      <c r="H133" s="9">
        <f t="shared" si="9"/>
        <v>1600</v>
      </c>
      <c r="I133" s="9">
        <v>2541</v>
      </c>
      <c r="J133" s="9">
        <v>4141</v>
      </c>
      <c r="K133" s="9">
        <v>3987</v>
      </c>
    </row>
    <row r="134" spans="1:11" ht="15.75">
      <c r="A134" s="5">
        <v>44316</v>
      </c>
      <c r="B134" s="6" t="s">
        <v>12</v>
      </c>
      <c r="C134" s="7">
        <v>13.98</v>
      </c>
      <c r="D134" s="7">
        <v>10.85</v>
      </c>
      <c r="E134" s="8">
        <v>800</v>
      </c>
      <c r="F134" s="6">
        <v>0</v>
      </c>
      <c r="G134" s="6">
        <v>800</v>
      </c>
      <c r="H134" s="9">
        <f t="shared" si="9"/>
        <v>1600</v>
      </c>
      <c r="I134" s="9">
        <v>2542</v>
      </c>
      <c r="J134" s="9">
        <v>4142</v>
      </c>
      <c r="K134" s="9">
        <v>4142</v>
      </c>
    </row>
    <row r="135" spans="1:11" ht="15.75">
      <c r="A135" s="2" t="s">
        <v>13</v>
      </c>
      <c r="B135" s="2"/>
      <c r="C135" s="2"/>
      <c r="D135" s="2"/>
      <c r="E135" s="11">
        <f t="shared" ref="E135:K135" si="10">SUM(E105:E134)</f>
        <v>31230</v>
      </c>
      <c r="F135" s="11">
        <f t="shared" si="10"/>
        <v>29610</v>
      </c>
      <c r="G135" s="11">
        <f t="shared" si="10"/>
        <v>62100</v>
      </c>
      <c r="H135" s="11">
        <f t="shared" si="10"/>
        <v>122940</v>
      </c>
      <c r="I135" s="11">
        <f t="shared" si="10"/>
        <v>10180</v>
      </c>
      <c r="J135" s="11">
        <f t="shared" si="10"/>
        <v>133120</v>
      </c>
      <c r="K135" s="11">
        <f t="shared" si="10"/>
        <v>146495</v>
      </c>
    </row>
    <row r="136" spans="1:11" ht="15.75">
      <c r="A136" s="12"/>
      <c r="B136" s="2"/>
      <c r="C136" s="2"/>
      <c r="D136" s="2"/>
      <c r="E136" s="13">
        <f t="shared" ref="E136:K136" si="11">SUM(E135/11575)</f>
        <v>2.6980561555075595</v>
      </c>
      <c r="F136" s="13">
        <f t="shared" si="11"/>
        <v>2.558099352051836</v>
      </c>
      <c r="G136" s="13">
        <f t="shared" si="11"/>
        <v>5.3650107991360692</v>
      </c>
      <c r="H136" s="13">
        <f t="shared" si="11"/>
        <v>10.621166306695464</v>
      </c>
      <c r="I136" s="13">
        <f t="shared" si="11"/>
        <v>0.87948164146868246</v>
      </c>
      <c r="J136" s="13">
        <f t="shared" si="11"/>
        <v>11.500647948164147</v>
      </c>
      <c r="K136" s="13">
        <f t="shared" si="11"/>
        <v>12.656155507559395</v>
      </c>
    </row>
    <row r="137" spans="1:11" ht="15.75">
      <c r="A137" s="1" t="s">
        <v>20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47.25">
      <c r="A138" s="2" t="s">
        <v>1</v>
      </c>
      <c r="B138" s="2" t="s">
        <v>2</v>
      </c>
      <c r="C138" s="3" t="s">
        <v>3</v>
      </c>
      <c r="D138" s="3" t="s">
        <v>4</v>
      </c>
      <c r="E138" s="3" t="s">
        <v>5</v>
      </c>
      <c r="F138" s="3" t="s">
        <v>6</v>
      </c>
      <c r="G138" s="3" t="s">
        <v>7</v>
      </c>
      <c r="H138" s="3" t="s">
        <v>8</v>
      </c>
      <c r="I138" s="3" t="s">
        <v>9</v>
      </c>
      <c r="J138" s="3" t="s">
        <v>10</v>
      </c>
      <c r="K138" s="4" t="s">
        <v>11</v>
      </c>
    </row>
    <row r="139" spans="1:11" ht="15.75">
      <c r="A139" s="5">
        <v>44317</v>
      </c>
      <c r="B139" s="6" t="s">
        <v>12</v>
      </c>
      <c r="C139" s="7">
        <v>13.99</v>
      </c>
      <c r="D139" s="7">
        <v>10.9</v>
      </c>
      <c r="E139" s="8">
        <v>800</v>
      </c>
      <c r="F139" s="8">
        <v>0</v>
      </c>
      <c r="G139" s="8">
        <v>800</v>
      </c>
      <c r="H139" s="9">
        <f t="shared" ref="H139:H169" si="12">E139+F139+G139</f>
        <v>1600</v>
      </c>
      <c r="I139" s="9">
        <v>2548</v>
      </c>
      <c r="J139" s="9">
        <v>4148</v>
      </c>
      <c r="K139" s="10">
        <v>4302</v>
      </c>
    </row>
    <row r="140" spans="1:11" ht="15.75">
      <c r="A140" s="5">
        <v>44318</v>
      </c>
      <c r="B140" s="6" t="s">
        <v>12</v>
      </c>
      <c r="C140" s="7">
        <v>13.99</v>
      </c>
      <c r="D140" s="7">
        <v>10.9</v>
      </c>
      <c r="E140" s="8">
        <v>1000</v>
      </c>
      <c r="F140" s="6">
        <v>0</v>
      </c>
      <c r="G140" s="6">
        <v>800</v>
      </c>
      <c r="H140" s="9">
        <f t="shared" si="12"/>
        <v>1800</v>
      </c>
      <c r="I140" s="9">
        <v>2548</v>
      </c>
      <c r="J140" s="9">
        <v>4348</v>
      </c>
      <c r="K140" s="10">
        <v>4348</v>
      </c>
    </row>
    <row r="141" spans="1:11" ht="15.75">
      <c r="A141" s="5">
        <v>44319</v>
      </c>
      <c r="B141" s="6" t="s">
        <v>12</v>
      </c>
      <c r="C141" s="7">
        <v>13.99</v>
      </c>
      <c r="D141" s="7">
        <v>10.9</v>
      </c>
      <c r="E141" s="8">
        <v>1000</v>
      </c>
      <c r="F141" s="6">
        <v>0</v>
      </c>
      <c r="G141" s="6">
        <v>800</v>
      </c>
      <c r="H141" s="9">
        <f t="shared" si="12"/>
        <v>1800</v>
      </c>
      <c r="I141" s="9">
        <v>2549</v>
      </c>
      <c r="J141" s="9">
        <v>4349</v>
      </c>
      <c r="K141" s="10">
        <v>4349</v>
      </c>
    </row>
    <row r="142" spans="1:11" ht="15.75">
      <c r="A142" s="5">
        <v>44320</v>
      </c>
      <c r="B142" s="6" t="s">
        <v>12</v>
      </c>
      <c r="C142" s="7">
        <v>13.99</v>
      </c>
      <c r="D142" s="7">
        <v>10.9</v>
      </c>
      <c r="E142" s="8">
        <v>1000</v>
      </c>
      <c r="F142" s="6">
        <v>0</v>
      </c>
      <c r="G142" s="6">
        <v>800</v>
      </c>
      <c r="H142" s="9">
        <f t="shared" si="12"/>
        <v>1800</v>
      </c>
      <c r="I142" s="9">
        <v>3508</v>
      </c>
      <c r="J142" s="9">
        <v>5308</v>
      </c>
      <c r="K142" s="10">
        <v>5308</v>
      </c>
    </row>
    <row r="143" spans="1:11" ht="15.75">
      <c r="A143" s="5">
        <v>44321</v>
      </c>
      <c r="B143" s="6" t="s">
        <v>12</v>
      </c>
      <c r="C143" s="7">
        <v>13.93</v>
      </c>
      <c r="D143" s="7">
        <v>10.7</v>
      </c>
      <c r="E143" s="8">
        <v>1000</v>
      </c>
      <c r="F143" s="6">
        <v>0</v>
      </c>
      <c r="G143" s="6">
        <v>800</v>
      </c>
      <c r="H143" s="9">
        <v>1800</v>
      </c>
      <c r="I143" s="9">
        <v>3150</v>
      </c>
      <c r="J143" s="9">
        <v>4950</v>
      </c>
      <c r="K143" s="9">
        <v>4487</v>
      </c>
    </row>
    <row r="144" spans="1:11" ht="15.75">
      <c r="A144" s="5">
        <v>44322</v>
      </c>
      <c r="B144" s="6" t="s">
        <v>12</v>
      </c>
      <c r="C144" s="7">
        <v>13.93</v>
      </c>
      <c r="D144" s="7">
        <v>10.7</v>
      </c>
      <c r="E144" s="8">
        <v>1000</v>
      </c>
      <c r="F144" s="6">
        <v>0</v>
      </c>
      <c r="G144" s="6">
        <v>800</v>
      </c>
      <c r="H144" s="9">
        <f t="shared" si="12"/>
        <v>1800</v>
      </c>
      <c r="I144" s="9">
        <v>2521</v>
      </c>
      <c r="J144" s="9">
        <v>4321</v>
      </c>
      <c r="K144" s="10">
        <v>4321</v>
      </c>
    </row>
    <row r="145" spans="1:11" ht="15.75">
      <c r="A145" s="5">
        <v>44323</v>
      </c>
      <c r="B145" s="6" t="s">
        <v>12</v>
      </c>
      <c r="C145" s="7">
        <v>13.96</v>
      </c>
      <c r="D145" s="7">
        <v>10.8</v>
      </c>
      <c r="E145" s="8">
        <v>1000</v>
      </c>
      <c r="F145" s="6">
        <v>0</v>
      </c>
      <c r="G145" s="6">
        <v>1200</v>
      </c>
      <c r="H145" s="9">
        <f t="shared" si="12"/>
        <v>2200</v>
      </c>
      <c r="I145" s="9">
        <v>2530</v>
      </c>
      <c r="J145" s="9">
        <v>4730</v>
      </c>
      <c r="K145" s="10">
        <v>4962</v>
      </c>
    </row>
    <row r="146" spans="1:11" ht="15.75">
      <c r="A146" s="5">
        <v>44324</v>
      </c>
      <c r="B146" s="6" t="s">
        <v>12</v>
      </c>
      <c r="C146" s="7">
        <v>13.99</v>
      </c>
      <c r="D146" s="7">
        <v>10.9</v>
      </c>
      <c r="E146" s="8">
        <v>1000</v>
      </c>
      <c r="F146" s="6">
        <v>0</v>
      </c>
      <c r="G146" s="6">
        <v>1200</v>
      </c>
      <c r="H146" s="9">
        <f t="shared" si="12"/>
        <v>2200</v>
      </c>
      <c r="I146" s="9">
        <v>2540</v>
      </c>
      <c r="J146" s="9">
        <v>4740</v>
      </c>
      <c r="K146" s="10">
        <v>4972</v>
      </c>
    </row>
    <row r="147" spans="1:11" ht="15.75">
      <c r="A147" s="5">
        <v>44325</v>
      </c>
      <c r="B147" s="6" t="s">
        <v>12</v>
      </c>
      <c r="C147" s="7">
        <v>13.99</v>
      </c>
      <c r="D147" s="7">
        <v>10.9</v>
      </c>
      <c r="E147" s="8">
        <v>1000</v>
      </c>
      <c r="F147" s="6">
        <v>0</v>
      </c>
      <c r="G147" s="6">
        <v>1200</v>
      </c>
      <c r="H147" s="9">
        <f t="shared" si="12"/>
        <v>2200</v>
      </c>
      <c r="I147" s="9">
        <v>2548</v>
      </c>
      <c r="J147" s="9">
        <v>4748</v>
      </c>
      <c r="K147" s="10">
        <v>4748</v>
      </c>
    </row>
    <row r="148" spans="1:11" ht="15.75">
      <c r="A148" s="5">
        <v>44326</v>
      </c>
      <c r="B148" s="6" t="s">
        <v>12</v>
      </c>
      <c r="C148" s="7">
        <v>13.99</v>
      </c>
      <c r="D148" s="7">
        <v>10.9</v>
      </c>
      <c r="E148" s="8">
        <v>1000</v>
      </c>
      <c r="F148" s="6">
        <v>0</v>
      </c>
      <c r="G148" s="6">
        <v>1500</v>
      </c>
      <c r="H148" s="9">
        <f t="shared" si="12"/>
        <v>2500</v>
      </c>
      <c r="I148" s="9">
        <v>3188</v>
      </c>
      <c r="J148" s="9">
        <v>5688</v>
      </c>
      <c r="K148" s="10">
        <v>5688</v>
      </c>
    </row>
    <row r="149" spans="1:11" ht="15.75">
      <c r="A149" s="5">
        <v>44327</v>
      </c>
      <c r="B149" s="6" t="s">
        <v>12</v>
      </c>
      <c r="C149" s="7">
        <v>13.99</v>
      </c>
      <c r="D149" s="7">
        <v>10.9</v>
      </c>
      <c r="E149" s="8">
        <v>0</v>
      </c>
      <c r="F149" s="6">
        <v>0</v>
      </c>
      <c r="G149" s="6">
        <v>1500</v>
      </c>
      <c r="H149" s="9">
        <f t="shared" si="12"/>
        <v>1500</v>
      </c>
      <c r="I149" s="9">
        <v>5105</v>
      </c>
      <c r="J149" s="9">
        <v>6605</v>
      </c>
      <c r="K149" s="10">
        <v>6605</v>
      </c>
    </row>
    <row r="150" spans="1:11" ht="15.75">
      <c r="A150" s="5">
        <v>44328</v>
      </c>
      <c r="B150" s="6" t="s">
        <v>12</v>
      </c>
      <c r="C150" s="7">
        <v>13.93</v>
      </c>
      <c r="D150" s="7">
        <v>10.7</v>
      </c>
      <c r="E150" s="8">
        <v>0</v>
      </c>
      <c r="F150" s="6">
        <v>0</v>
      </c>
      <c r="G150" s="6">
        <v>2000</v>
      </c>
      <c r="H150" s="9">
        <f t="shared" si="12"/>
        <v>2000</v>
      </c>
      <c r="I150" s="9">
        <v>4701</v>
      </c>
      <c r="J150" s="9">
        <v>6701</v>
      </c>
      <c r="K150" s="10">
        <v>6238</v>
      </c>
    </row>
    <row r="151" spans="1:11" ht="15.75">
      <c r="A151" s="5">
        <v>44329</v>
      </c>
      <c r="B151" s="6" t="s">
        <v>12</v>
      </c>
      <c r="C151" s="7">
        <v>13.93</v>
      </c>
      <c r="D151" s="7">
        <v>10.7</v>
      </c>
      <c r="E151" s="8">
        <v>0</v>
      </c>
      <c r="F151" s="6">
        <v>0</v>
      </c>
      <c r="G151" s="6">
        <v>2000</v>
      </c>
      <c r="H151" s="9">
        <f t="shared" si="12"/>
        <v>2000</v>
      </c>
      <c r="I151" s="9">
        <v>0</v>
      </c>
      <c r="J151" s="9">
        <v>2000</v>
      </c>
      <c r="K151" s="10">
        <v>2000</v>
      </c>
    </row>
    <row r="152" spans="1:11" ht="15.75">
      <c r="A152" s="5">
        <v>44330</v>
      </c>
      <c r="B152" s="6" t="s">
        <v>12</v>
      </c>
      <c r="C152" s="7">
        <v>13.99</v>
      </c>
      <c r="D152" s="7">
        <v>10.9</v>
      </c>
      <c r="E152" s="8">
        <v>0</v>
      </c>
      <c r="F152" s="6">
        <v>0</v>
      </c>
      <c r="G152" s="6">
        <v>2000</v>
      </c>
      <c r="H152" s="9">
        <f t="shared" si="12"/>
        <v>2000</v>
      </c>
      <c r="I152" s="9">
        <v>0</v>
      </c>
      <c r="J152" s="9">
        <v>2000</v>
      </c>
      <c r="K152" s="10">
        <v>2463</v>
      </c>
    </row>
    <row r="153" spans="1:11" ht="15.75">
      <c r="A153" s="5">
        <v>44331</v>
      </c>
      <c r="B153" s="6" t="s">
        <v>12</v>
      </c>
      <c r="C153" s="7">
        <v>13.99</v>
      </c>
      <c r="D153" s="7">
        <v>10.9</v>
      </c>
      <c r="E153" s="8">
        <v>0</v>
      </c>
      <c r="F153" s="6">
        <v>0</v>
      </c>
      <c r="G153" s="6">
        <v>2000</v>
      </c>
      <c r="H153" s="9">
        <f t="shared" si="12"/>
        <v>2000</v>
      </c>
      <c r="I153" s="9">
        <v>3149</v>
      </c>
      <c r="J153" s="9">
        <v>5149</v>
      </c>
      <c r="K153" s="10">
        <v>5149</v>
      </c>
    </row>
    <row r="154" spans="1:11" ht="15.75">
      <c r="A154" s="5">
        <v>44332</v>
      </c>
      <c r="B154" s="6" t="s">
        <v>12</v>
      </c>
      <c r="C154" s="7">
        <v>13.98</v>
      </c>
      <c r="D154" s="7">
        <v>10.85</v>
      </c>
      <c r="E154" s="8">
        <v>0</v>
      </c>
      <c r="F154" s="6">
        <v>0</v>
      </c>
      <c r="G154" s="6">
        <v>2000</v>
      </c>
      <c r="H154" s="9">
        <f t="shared" si="12"/>
        <v>2000</v>
      </c>
      <c r="I154" s="9">
        <v>1885</v>
      </c>
      <c r="J154" s="9">
        <v>3885</v>
      </c>
      <c r="K154" s="10">
        <v>3731</v>
      </c>
    </row>
    <row r="155" spans="1:11" ht="15.75">
      <c r="A155" s="5">
        <v>44333</v>
      </c>
      <c r="B155" s="6" t="s">
        <v>12</v>
      </c>
      <c r="C155" s="7">
        <v>13.93</v>
      </c>
      <c r="D155" s="7">
        <v>10.7</v>
      </c>
      <c r="E155" s="8">
        <v>0</v>
      </c>
      <c r="F155" s="6">
        <v>0</v>
      </c>
      <c r="G155" s="6">
        <v>0</v>
      </c>
      <c r="H155" s="9">
        <f t="shared" si="12"/>
        <v>0</v>
      </c>
      <c r="I155" s="9">
        <v>2493</v>
      </c>
      <c r="J155" s="9">
        <v>2493</v>
      </c>
      <c r="K155" s="10">
        <v>2184</v>
      </c>
    </row>
    <row r="156" spans="1:11" ht="15.75">
      <c r="A156" s="5">
        <v>44334</v>
      </c>
      <c r="B156" s="6" t="s">
        <v>12</v>
      </c>
      <c r="C156" s="7">
        <v>13.99</v>
      </c>
      <c r="D156" s="7">
        <v>10.9</v>
      </c>
      <c r="E156" s="8">
        <v>0</v>
      </c>
      <c r="F156" s="6">
        <v>0</v>
      </c>
      <c r="G156" s="6">
        <v>0</v>
      </c>
      <c r="H156" s="9">
        <f t="shared" si="12"/>
        <v>0</v>
      </c>
      <c r="I156" s="9">
        <v>0</v>
      </c>
      <c r="J156" s="9">
        <v>0</v>
      </c>
      <c r="K156" s="10">
        <v>463</v>
      </c>
    </row>
    <row r="157" spans="1:11" ht="15.75">
      <c r="A157" s="5">
        <v>44335</v>
      </c>
      <c r="B157" s="6" t="s">
        <v>12</v>
      </c>
      <c r="C157" s="7">
        <v>13.99</v>
      </c>
      <c r="D157" s="7">
        <v>10.9</v>
      </c>
      <c r="E157" s="8">
        <v>0</v>
      </c>
      <c r="F157" s="6">
        <v>0</v>
      </c>
      <c r="G157" s="6">
        <v>0</v>
      </c>
      <c r="H157" s="9">
        <f t="shared" si="12"/>
        <v>0</v>
      </c>
      <c r="I157" s="9">
        <v>960</v>
      </c>
      <c r="J157" s="9">
        <v>960</v>
      </c>
      <c r="K157" s="10">
        <v>960</v>
      </c>
    </row>
    <row r="158" spans="1:11" ht="15.75">
      <c r="A158" s="5">
        <v>44336</v>
      </c>
      <c r="B158" s="6" t="s">
        <v>12</v>
      </c>
      <c r="C158" s="7">
        <v>13.98</v>
      </c>
      <c r="D158" s="7">
        <v>10.85</v>
      </c>
      <c r="E158" s="8">
        <v>0</v>
      </c>
      <c r="F158" s="6">
        <v>0</v>
      </c>
      <c r="G158" s="6">
        <v>0</v>
      </c>
      <c r="H158" s="9">
        <f t="shared" si="12"/>
        <v>0</v>
      </c>
      <c r="I158" s="9">
        <v>0</v>
      </c>
      <c r="J158" s="9">
        <v>0</v>
      </c>
      <c r="K158" s="10">
        <v>0</v>
      </c>
    </row>
    <row r="159" spans="1:11" ht="15.75">
      <c r="A159" s="5">
        <v>44337</v>
      </c>
      <c r="B159" s="6" t="s">
        <v>12</v>
      </c>
      <c r="C159" s="7">
        <v>13.93</v>
      </c>
      <c r="D159" s="7">
        <v>10.7</v>
      </c>
      <c r="E159" s="8">
        <v>0</v>
      </c>
      <c r="F159" s="6">
        <v>0</v>
      </c>
      <c r="G159" s="6">
        <v>0</v>
      </c>
      <c r="H159" s="9">
        <f t="shared" si="12"/>
        <v>0</v>
      </c>
      <c r="I159" s="9">
        <v>0</v>
      </c>
      <c r="J159" s="9">
        <v>0</v>
      </c>
      <c r="K159" s="10">
        <v>0</v>
      </c>
    </row>
    <row r="160" spans="1:11" ht="15.75">
      <c r="A160" s="5">
        <v>44338</v>
      </c>
      <c r="B160" s="6" t="s">
        <v>12</v>
      </c>
      <c r="C160" s="7">
        <v>13.92</v>
      </c>
      <c r="D160" s="7">
        <v>10.65</v>
      </c>
      <c r="E160" s="8">
        <v>0</v>
      </c>
      <c r="F160" s="6">
        <v>0</v>
      </c>
      <c r="G160" s="6">
        <v>0</v>
      </c>
      <c r="H160" s="9">
        <f t="shared" si="12"/>
        <v>0</v>
      </c>
      <c r="I160" s="9">
        <v>0</v>
      </c>
      <c r="J160" s="9">
        <v>0</v>
      </c>
      <c r="K160" s="10">
        <v>0</v>
      </c>
    </row>
    <row r="161" spans="1:11" ht="15.75">
      <c r="A161" s="5">
        <v>44339</v>
      </c>
      <c r="B161" s="6" t="s">
        <v>12</v>
      </c>
      <c r="C161" s="7">
        <v>13.87</v>
      </c>
      <c r="D161" s="7">
        <v>10.5</v>
      </c>
      <c r="E161" s="8">
        <v>0</v>
      </c>
      <c r="F161" s="6">
        <v>0</v>
      </c>
      <c r="G161" s="6">
        <v>0</v>
      </c>
      <c r="H161" s="9">
        <f t="shared" si="12"/>
        <v>0</v>
      </c>
      <c r="I161" s="9">
        <v>0</v>
      </c>
      <c r="J161" s="9">
        <v>0</v>
      </c>
      <c r="K161" s="10">
        <v>0</v>
      </c>
    </row>
    <row r="162" spans="1:11" ht="15.75">
      <c r="A162" s="5">
        <v>44340</v>
      </c>
      <c r="B162" s="6" t="s">
        <v>12</v>
      </c>
      <c r="C162" s="7">
        <v>13.82</v>
      </c>
      <c r="D162" s="7">
        <v>10.35</v>
      </c>
      <c r="E162" s="8">
        <v>0</v>
      </c>
      <c r="F162" s="6">
        <v>0</v>
      </c>
      <c r="G162" s="6">
        <v>0</v>
      </c>
      <c r="H162" s="9">
        <f t="shared" si="12"/>
        <v>0</v>
      </c>
      <c r="I162" s="9">
        <v>0</v>
      </c>
      <c r="J162" s="9">
        <v>0</v>
      </c>
      <c r="K162" s="10">
        <v>0</v>
      </c>
    </row>
    <row r="163" spans="1:11" ht="15.75">
      <c r="A163" s="5">
        <v>44341</v>
      </c>
      <c r="B163" s="6" t="s">
        <v>12</v>
      </c>
      <c r="C163" s="7">
        <v>13.78</v>
      </c>
      <c r="D163" s="7">
        <v>10.199999999999999</v>
      </c>
      <c r="E163" s="8">
        <v>0</v>
      </c>
      <c r="F163" s="6">
        <v>0</v>
      </c>
      <c r="G163" s="6">
        <v>0</v>
      </c>
      <c r="H163" s="9">
        <f t="shared" si="12"/>
        <v>0</v>
      </c>
      <c r="I163" s="9">
        <v>0</v>
      </c>
      <c r="J163" s="9">
        <v>0</v>
      </c>
      <c r="K163" s="10">
        <v>0</v>
      </c>
    </row>
    <row r="164" spans="1:11" ht="15.75">
      <c r="A164" s="5">
        <v>44342</v>
      </c>
      <c r="B164" s="6" t="s">
        <v>12</v>
      </c>
      <c r="C164" s="7">
        <v>13.72</v>
      </c>
      <c r="D164" s="7">
        <v>10</v>
      </c>
      <c r="E164" s="8">
        <v>0</v>
      </c>
      <c r="F164" s="6">
        <v>0</v>
      </c>
      <c r="G164" s="6">
        <v>0</v>
      </c>
      <c r="H164" s="9">
        <f t="shared" si="12"/>
        <v>0</v>
      </c>
      <c r="I164" s="9">
        <v>0</v>
      </c>
      <c r="J164" s="9">
        <v>0</v>
      </c>
      <c r="K164" s="10">
        <v>0</v>
      </c>
    </row>
    <row r="165" spans="1:11" ht="15.75">
      <c r="A165" s="5">
        <v>44343</v>
      </c>
      <c r="B165" s="6" t="s">
        <v>12</v>
      </c>
      <c r="C165" s="7">
        <v>13.66</v>
      </c>
      <c r="D165" s="7">
        <v>9.8000000000000007</v>
      </c>
      <c r="E165" s="8">
        <v>0</v>
      </c>
      <c r="F165" s="6">
        <v>0</v>
      </c>
      <c r="G165" s="6">
        <v>0</v>
      </c>
      <c r="H165" s="9">
        <f t="shared" si="12"/>
        <v>0</v>
      </c>
      <c r="I165" s="9">
        <v>0</v>
      </c>
      <c r="J165" s="9">
        <v>0</v>
      </c>
      <c r="K165" s="9">
        <v>0</v>
      </c>
    </row>
    <row r="166" spans="1:11" ht="15.75">
      <c r="A166" s="5">
        <v>44344</v>
      </c>
      <c r="B166" s="6" t="s">
        <v>12</v>
      </c>
      <c r="C166" s="7">
        <v>13.61</v>
      </c>
      <c r="D166" s="7">
        <v>9.65</v>
      </c>
      <c r="E166" s="8">
        <v>0</v>
      </c>
      <c r="F166" s="6">
        <v>0</v>
      </c>
      <c r="G166" s="6">
        <v>0</v>
      </c>
      <c r="H166" s="9">
        <f t="shared" si="12"/>
        <v>0</v>
      </c>
      <c r="I166" s="9">
        <v>0</v>
      </c>
      <c r="J166" s="9">
        <v>0</v>
      </c>
      <c r="K166" s="9">
        <v>0</v>
      </c>
    </row>
    <row r="167" spans="1:11" ht="15.75">
      <c r="A167" s="5">
        <v>44345</v>
      </c>
      <c r="B167" s="6" t="s">
        <v>12</v>
      </c>
      <c r="C167" s="7">
        <v>13.55</v>
      </c>
      <c r="D167" s="7">
        <v>9.4499999999999993</v>
      </c>
      <c r="E167" s="8">
        <v>0</v>
      </c>
      <c r="F167" s="6">
        <v>0</v>
      </c>
      <c r="G167" s="6">
        <v>0</v>
      </c>
      <c r="H167" s="9">
        <f t="shared" si="12"/>
        <v>0</v>
      </c>
      <c r="I167" s="9">
        <v>0</v>
      </c>
      <c r="J167" s="9">
        <v>0</v>
      </c>
      <c r="K167" s="9">
        <v>0</v>
      </c>
    </row>
    <row r="168" spans="1:11" ht="15.75">
      <c r="A168" s="5">
        <v>44346</v>
      </c>
      <c r="B168" s="6" t="s">
        <v>12</v>
      </c>
      <c r="C168" s="7">
        <v>13.49</v>
      </c>
      <c r="D168" s="7">
        <v>9.25</v>
      </c>
      <c r="E168" s="8">
        <v>0</v>
      </c>
      <c r="F168" s="6">
        <v>0</v>
      </c>
      <c r="G168" s="6">
        <v>0</v>
      </c>
      <c r="H168" s="9">
        <f t="shared" si="12"/>
        <v>0</v>
      </c>
      <c r="I168" s="9">
        <v>0</v>
      </c>
      <c r="J168" s="9">
        <v>0</v>
      </c>
      <c r="K168" s="9">
        <v>0</v>
      </c>
    </row>
    <row r="169" spans="1:11" ht="15.75">
      <c r="A169" s="5">
        <v>44347</v>
      </c>
      <c r="B169" s="6" t="s">
        <v>12</v>
      </c>
      <c r="C169" s="7">
        <v>13.43</v>
      </c>
      <c r="D169" s="7">
        <v>9.0500000000000007</v>
      </c>
      <c r="E169" s="8">
        <v>0</v>
      </c>
      <c r="F169" s="6">
        <v>0</v>
      </c>
      <c r="G169" s="6">
        <v>1000</v>
      </c>
      <c r="H169" s="9">
        <f t="shared" si="12"/>
        <v>1000</v>
      </c>
      <c r="I169" s="9">
        <v>0</v>
      </c>
      <c r="J169" s="9">
        <v>1000</v>
      </c>
      <c r="K169" s="9">
        <v>537</v>
      </c>
    </row>
    <row r="170" spans="1:11" ht="15.75">
      <c r="A170" s="2" t="s">
        <v>13</v>
      </c>
      <c r="B170" s="2"/>
      <c r="C170" s="2"/>
      <c r="D170" s="2"/>
      <c r="E170" s="11">
        <f t="shared" ref="E170:K170" si="13">SUM(E139:E169)</f>
        <v>9800</v>
      </c>
      <c r="F170" s="11">
        <f t="shared" si="13"/>
        <v>0</v>
      </c>
      <c r="G170" s="11">
        <f t="shared" si="13"/>
        <v>22400</v>
      </c>
      <c r="H170" s="11">
        <f t="shared" si="13"/>
        <v>32200</v>
      </c>
      <c r="I170" s="11">
        <f t="shared" si="13"/>
        <v>45923</v>
      </c>
      <c r="J170" s="11">
        <f t="shared" si="13"/>
        <v>78123</v>
      </c>
      <c r="K170" s="11">
        <f t="shared" si="13"/>
        <v>77815</v>
      </c>
    </row>
    <row r="171" spans="1:11" ht="15.75">
      <c r="A171" s="12"/>
      <c r="B171" s="2"/>
      <c r="C171" s="2"/>
      <c r="D171" s="2"/>
      <c r="E171" s="13">
        <f t="shared" ref="E171:K171" si="14">SUM(E170/11575)</f>
        <v>0.8466522678185745</v>
      </c>
      <c r="F171" s="13">
        <f t="shared" si="14"/>
        <v>0</v>
      </c>
      <c r="G171" s="13">
        <f t="shared" si="14"/>
        <v>1.9352051835853132</v>
      </c>
      <c r="H171" s="13">
        <f t="shared" si="14"/>
        <v>2.7818574514038876</v>
      </c>
      <c r="I171" s="13">
        <f t="shared" si="14"/>
        <v>3.9674298056155508</v>
      </c>
      <c r="J171" s="13">
        <f t="shared" si="14"/>
        <v>6.7492872570194384</v>
      </c>
      <c r="K171" s="13">
        <f t="shared" si="14"/>
        <v>6.7226781857451403</v>
      </c>
    </row>
    <row r="172" spans="1:11" ht="15.75">
      <c r="A172" s="1" t="s">
        <v>21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47.25">
      <c r="A173" s="2" t="s">
        <v>1</v>
      </c>
      <c r="B173" s="2" t="s">
        <v>2</v>
      </c>
      <c r="C173" s="3" t="s">
        <v>18</v>
      </c>
      <c r="D173" s="3" t="s">
        <v>4</v>
      </c>
      <c r="E173" s="3" t="s">
        <v>5</v>
      </c>
      <c r="F173" s="3" t="s">
        <v>6</v>
      </c>
      <c r="G173" s="3" t="s">
        <v>7</v>
      </c>
      <c r="H173" s="3" t="s">
        <v>8</v>
      </c>
      <c r="I173" s="3" t="s">
        <v>9</v>
      </c>
      <c r="J173" s="3" t="s">
        <v>19</v>
      </c>
      <c r="K173" s="4" t="s">
        <v>11</v>
      </c>
    </row>
    <row r="174" spans="1:11" ht="15.75">
      <c r="A174" s="5">
        <v>44348</v>
      </c>
      <c r="B174" s="6" t="s">
        <v>12</v>
      </c>
      <c r="C174" s="7">
        <v>13.32</v>
      </c>
      <c r="D174" s="7">
        <v>8.6999999999999993</v>
      </c>
      <c r="E174" s="8">
        <v>0</v>
      </c>
      <c r="F174" s="8">
        <v>0</v>
      </c>
      <c r="G174" s="8">
        <v>1000</v>
      </c>
      <c r="H174" s="9">
        <f t="shared" ref="H174:H203" si="15">E174+F174+G174</f>
        <v>1000</v>
      </c>
      <c r="I174" s="9">
        <v>0</v>
      </c>
      <c r="J174" s="9">
        <v>1000</v>
      </c>
      <c r="K174" s="10">
        <v>154</v>
      </c>
    </row>
    <row r="175" spans="1:11" ht="15.75">
      <c r="A175" s="5">
        <v>44349</v>
      </c>
      <c r="B175" s="6" t="s">
        <v>12</v>
      </c>
      <c r="C175" s="7">
        <v>13.28</v>
      </c>
      <c r="D175" s="7">
        <v>8.5500000000000007</v>
      </c>
      <c r="E175" s="8">
        <v>0</v>
      </c>
      <c r="F175" s="6">
        <v>0</v>
      </c>
      <c r="G175" s="8">
        <v>1000</v>
      </c>
      <c r="H175" s="9">
        <f t="shared" si="15"/>
        <v>1000</v>
      </c>
      <c r="I175" s="9">
        <v>0</v>
      </c>
      <c r="J175" s="9">
        <v>1000</v>
      </c>
      <c r="K175" s="10">
        <v>697</v>
      </c>
    </row>
    <row r="176" spans="1:11" ht="15.75">
      <c r="A176" s="5">
        <v>44350</v>
      </c>
      <c r="B176" s="6" t="s">
        <v>12</v>
      </c>
      <c r="C176" s="7">
        <v>13.18</v>
      </c>
      <c r="D176" s="7">
        <v>8.25</v>
      </c>
      <c r="E176" s="8">
        <v>0</v>
      </c>
      <c r="F176" s="6">
        <v>0</v>
      </c>
      <c r="G176" s="8">
        <v>1000</v>
      </c>
      <c r="H176" s="9">
        <f t="shared" si="15"/>
        <v>1000</v>
      </c>
      <c r="I176" s="9">
        <v>0</v>
      </c>
      <c r="J176" s="9">
        <v>1000</v>
      </c>
      <c r="K176" s="10">
        <v>241</v>
      </c>
    </row>
    <row r="177" spans="1:11" ht="15.75">
      <c r="A177" s="5">
        <v>44351</v>
      </c>
      <c r="B177" s="6" t="s">
        <v>12</v>
      </c>
      <c r="C177" s="7">
        <v>13.11</v>
      </c>
      <c r="D177" s="7">
        <v>8</v>
      </c>
      <c r="E177" s="8">
        <v>0</v>
      </c>
      <c r="F177" s="6">
        <v>0</v>
      </c>
      <c r="G177" s="8">
        <v>1000</v>
      </c>
      <c r="H177" s="9">
        <f t="shared" si="15"/>
        <v>1000</v>
      </c>
      <c r="I177" s="9">
        <v>0</v>
      </c>
      <c r="J177" s="9">
        <v>1000</v>
      </c>
      <c r="K177" s="10">
        <v>469</v>
      </c>
    </row>
    <row r="178" spans="1:11" ht="15.75">
      <c r="A178" s="5">
        <v>44352</v>
      </c>
      <c r="B178" s="6" t="s">
        <v>12</v>
      </c>
      <c r="C178" s="7">
        <v>13.02</v>
      </c>
      <c r="D178" s="7">
        <v>7.7</v>
      </c>
      <c r="E178" s="8">
        <v>0</v>
      </c>
      <c r="F178" s="6">
        <v>0</v>
      </c>
      <c r="G178" s="8">
        <v>1000</v>
      </c>
      <c r="H178" s="9">
        <f t="shared" si="15"/>
        <v>1000</v>
      </c>
      <c r="I178" s="9">
        <v>0</v>
      </c>
      <c r="J178" s="9">
        <v>1000</v>
      </c>
      <c r="K178" s="9">
        <v>319</v>
      </c>
    </row>
    <row r="179" spans="1:11" ht="15.75">
      <c r="A179" s="5">
        <v>44353</v>
      </c>
      <c r="B179" s="6" t="s">
        <v>12</v>
      </c>
      <c r="C179" s="7">
        <v>12.94</v>
      </c>
      <c r="D179" s="7">
        <v>7.45</v>
      </c>
      <c r="E179" s="8">
        <v>0</v>
      </c>
      <c r="F179" s="6">
        <v>0</v>
      </c>
      <c r="G179" s="8">
        <v>1000</v>
      </c>
      <c r="H179" s="9">
        <f t="shared" si="15"/>
        <v>1000</v>
      </c>
      <c r="I179" s="9">
        <v>0</v>
      </c>
      <c r="J179" s="9">
        <v>1000</v>
      </c>
      <c r="K179" s="10">
        <v>403</v>
      </c>
    </row>
    <row r="180" spans="1:11" ht="15.75">
      <c r="A180" s="5">
        <v>44354</v>
      </c>
      <c r="B180" s="6" t="s">
        <v>12</v>
      </c>
      <c r="C180" s="7">
        <v>12.86</v>
      </c>
      <c r="D180" s="7">
        <v>7.2</v>
      </c>
      <c r="E180" s="8">
        <v>0</v>
      </c>
      <c r="F180" s="6">
        <v>0</v>
      </c>
      <c r="G180" s="8">
        <v>1000</v>
      </c>
      <c r="H180" s="9">
        <f t="shared" si="15"/>
        <v>1000</v>
      </c>
      <c r="I180" s="9">
        <v>0</v>
      </c>
      <c r="J180" s="9">
        <v>1000</v>
      </c>
      <c r="K180" s="10">
        <v>404</v>
      </c>
    </row>
    <row r="181" spans="1:11" ht="15.75">
      <c r="A181" s="5">
        <v>44355</v>
      </c>
      <c r="B181" s="6" t="s">
        <v>12</v>
      </c>
      <c r="C181" s="7">
        <v>12.8</v>
      </c>
      <c r="D181" s="7">
        <v>7</v>
      </c>
      <c r="E181" s="8">
        <v>0</v>
      </c>
      <c r="F181" s="6">
        <v>0</v>
      </c>
      <c r="G181" s="8">
        <v>1000</v>
      </c>
      <c r="H181" s="9">
        <f t="shared" si="15"/>
        <v>1000</v>
      </c>
      <c r="I181" s="9">
        <v>0</v>
      </c>
      <c r="J181" s="9">
        <v>1000</v>
      </c>
      <c r="K181" s="10">
        <v>552</v>
      </c>
    </row>
    <row r="182" spans="1:11" ht="15.75">
      <c r="A182" s="5">
        <v>44356</v>
      </c>
      <c r="B182" s="6" t="s">
        <v>12</v>
      </c>
      <c r="C182" s="7">
        <v>12.71</v>
      </c>
      <c r="D182" s="7">
        <v>6.7</v>
      </c>
      <c r="E182" s="8">
        <v>0</v>
      </c>
      <c r="F182" s="6">
        <v>0</v>
      </c>
      <c r="G182" s="8">
        <v>1000</v>
      </c>
      <c r="H182" s="9">
        <f t="shared" si="15"/>
        <v>1000</v>
      </c>
      <c r="I182" s="9">
        <v>0</v>
      </c>
      <c r="J182" s="9">
        <v>1000</v>
      </c>
      <c r="K182" s="10">
        <v>332</v>
      </c>
    </row>
    <row r="183" spans="1:11" ht="15.75">
      <c r="A183" s="5">
        <v>44357</v>
      </c>
      <c r="B183" s="6" t="s">
        <v>12</v>
      </c>
      <c r="C183" s="7">
        <v>12.64</v>
      </c>
      <c r="D183" s="7">
        <v>6.45</v>
      </c>
      <c r="E183" s="8">
        <v>0</v>
      </c>
      <c r="F183" s="6">
        <v>0</v>
      </c>
      <c r="G183" s="8">
        <v>1000</v>
      </c>
      <c r="H183" s="9">
        <f t="shared" si="15"/>
        <v>1000</v>
      </c>
      <c r="I183" s="9">
        <v>0</v>
      </c>
      <c r="J183" s="9">
        <v>1000</v>
      </c>
      <c r="K183" s="10">
        <v>486</v>
      </c>
    </row>
    <row r="184" spans="1:11" ht="15.75">
      <c r="A184" s="5">
        <v>44358</v>
      </c>
      <c r="B184" s="6" t="s">
        <v>12</v>
      </c>
      <c r="C184" s="7">
        <v>12.59</v>
      </c>
      <c r="D184" s="7">
        <v>6.3</v>
      </c>
      <c r="E184" s="8">
        <v>0</v>
      </c>
      <c r="F184" s="6">
        <v>0</v>
      </c>
      <c r="G184" s="8">
        <v>1000</v>
      </c>
      <c r="H184" s="9">
        <f t="shared" si="15"/>
        <v>1000</v>
      </c>
      <c r="I184" s="9">
        <v>0</v>
      </c>
      <c r="J184" s="9">
        <v>1000</v>
      </c>
      <c r="K184" s="10">
        <v>633</v>
      </c>
    </row>
    <row r="185" spans="1:11" ht="15.75">
      <c r="A185" s="5">
        <v>44359</v>
      </c>
      <c r="B185" s="6" t="s">
        <v>12</v>
      </c>
      <c r="C185" s="7">
        <v>12.5</v>
      </c>
      <c r="D185" s="7">
        <v>6</v>
      </c>
      <c r="E185" s="8">
        <v>0</v>
      </c>
      <c r="F185" s="6">
        <v>0</v>
      </c>
      <c r="G185" s="8">
        <v>1000</v>
      </c>
      <c r="H185" s="9">
        <f t="shared" si="15"/>
        <v>1000</v>
      </c>
      <c r="I185" s="9">
        <v>0</v>
      </c>
      <c r="J185" s="9">
        <v>1000</v>
      </c>
      <c r="K185" s="10">
        <v>339</v>
      </c>
    </row>
    <row r="186" spans="1:11" ht="15.75">
      <c r="A186" s="5">
        <v>44360</v>
      </c>
      <c r="B186" s="6" t="s">
        <v>12</v>
      </c>
      <c r="C186" s="7">
        <v>12.5</v>
      </c>
      <c r="D186" s="7">
        <v>6</v>
      </c>
      <c r="E186" s="8">
        <v>0</v>
      </c>
      <c r="F186" s="6">
        <v>0</v>
      </c>
      <c r="G186" s="8">
        <v>1000</v>
      </c>
      <c r="H186" s="9">
        <f t="shared" si="15"/>
        <v>1000</v>
      </c>
      <c r="I186" s="9">
        <v>0</v>
      </c>
      <c r="J186" s="9">
        <v>1000</v>
      </c>
      <c r="K186" s="10">
        <v>1000</v>
      </c>
    </row>
    <row r="187" spans="1:11" ht="15.75">
      <c r="A187" s="5">
        <v>44361</v>
      </c>
      <c r="B187" s="6" t="s">
        <v>12</v>
      </c>
      <c r="C187" s="7">
        <v>12.86</v>
      </c>
      <c r="D187" s="7">
        <v>7.2</v>
      </c>
      <c r="E187" s="8">
        <v>0</v>
      </c>
      <c r="F187" s="6">
        <v>0</v>
      </c>
      <c r="G187" s="6">
        <v>0</v>
      </c>
      <c r="H187" s="9">
        <f t="shared" si="15"/>
        <v>0</v>
      </c>
      <c r="I187" s="9">
        <v>0</v>
      </c>
      <c r="J187" s="9">
        <v>0</v>
      </c>
      <c r="K187" s="10">
        <v>2658</v>
      </c>
    </row>
    <row r="188" spans="1:11" ht="15.75">
      <c r="A188" s="5">
        <v>44362</v>
      </c>
      <c r="B188" s="6" t="s">
        <v>12</v>
      </c>
      <c r="C188" s="7">
        <v>13.15</v>
      </c>
      <c r="D188" s="7">
        <v>8.15</v>
      </c>
      <c r="E188" s="8">
        <v>1000</v>
      </c>
      <c r="F188" s="6">
        <v>500</v>
      </c>
      <c r="G188" s="6">
        <v>1500</v>
      </c>
      <c r="H188" s="9">
        <f t="shared" si="15"/>
        <v>3000</v>
      </c>
      <c r="I188" s="9">
        <v>0</v>
      </c>
      <c r="J188" s="9">
        <v>3000</v>
      </c>
      <c r="K188" s="10">
        <v>2177</v>
      </c>
    </row>
    <row r="189" spans="1:11" ht="15.75">
      <c r="A189" s="5">
        <v>44363</v>
      </c>
      <c r="B189" s="6" t="s">
        <v>12</v>
      </c>
      <c r="C189" s="7">
        <v>13.28</v>
      </c>
      <c r="D189" s="7">
        <v>8.5500000000000007</v>
      </c>
      <c r="E189" s="8">
        <v>1000</v>
      </c>
      <c r="F189" s="6">
        <v>500</v>
      </c>
      <c r="G189" s="6">
        <v>2000</v>
      </c>
      <c r="H189" s="9">
        <f t="shared" si="15"/>
        <v>3500</v>
      </c>
      <c r="I189" s="9">
        <v>0</v>
      </c>
      <c r="J189" s="9">
        <v>3500</v>
      </c>
      <c r="K189" s="10">
        <v>4487</v>
      </c>
    </row>
    <row r="190" spans="1:11" ht="15.75">
      <c r="A190" s="5">
        <v>44364</v>
      </c>
      <c r="B190" s="6" t="s">
        <v>12</v>
      </c>
      <c r="C190" s="7">
        <v>13.32</v>
      </c>
      <c r="D190" s="7">
        <v>8.6999999999999993</v>
      </c>
      <c r="E190" s="8">
        <v>2000</v>
      </c>
      <c r="F190" s="6">
        <v>500</v>
      </c>
      <c r="G190" s="6">
        <v>4500</v>
      </c>
      <c r="H190" s="9">
        <f t="shared" si="15"/>
        <v>7000</v>
      </c>
      <c r="I190" s="9">
        <v>0</v>
      </c>
      <c r="J190" s="9">
        <v>7000</v>
      </c>
      <c r="K190" s="10">
        <v>7303</v>
      </c>
    </row>
    <row r="191" spans="1:11" ht="15.75">
      <c r="A191" s="5">
        <v>44365</v>
      </c>
      <c r="B191" s="6" t="s">
        <v>12</v>
      </c>
      <c r="C191" s="7">
        <v>13.32</v>
      </c>
      <c r="D191" s="7">
        <v>8.6999999999999993</v>
      </c>
      <c r="E191" s="8">
        <v>2500</v>
      </c>
      <c r="F191" s="6">
        <v>1000</v>
      </c>
      <c r="G191" s="6">
        <v>4500</v>
      </c>
      <c r="H191" s="9">
        <f t="shared" si="15"/>
        <v>8000</v>
      </c>
      <c r="I191" s="9">
        <v>0</v>
      </c>
      <c r="J191" s="9">
        <v>8000</v>
      </c>
      <c r="K191" s="10">
        <v>8000</v>
      </c>
    </row>
    <row r="192" spans="1:11" ht="15.75">
      <c r="A192" s="5">
        <v>44366</v>
      </c>
      <c r="B192" s="6" t="s">
        <v>12</v>
      </c>
      <c r="C192" s="7">
        <v>13.31</v>
      </c>
      <c r="D192" s="7">
        <v>8.65</v>
      </c>
      <c r="E192" s="8">
        <v>2500</v>
      </c>
      <c r="F192" s="6">
        <v>1000</v>
      </c>
      <c r="G192" s="6">
        <v>4500</v>
      </c>
      <c r="H192" s="9">
        <f t="shared" si="15"/>
        <v>8000</v>
      </c>
      <c r="I192" s="9">
        <v>0</v>
      </c>
      <c r="J192" s="9">
        <v>8000</v>
      </c>
      <c r="K192" s="10">
        <v>7924</v>
      </c>
    </row>
    <row r="193" spans="1:11" ht="15.75">
      <c r="A193" s="5">
        <v>44367</v>
      </c>
      <c r="B193" s="6" t="s">
        <v>12</v>
      </c>
      <c r="C193" s="7">
        <v>13.28</v>
      </c>
      <c r="D193" s="7">
        <v>8.5500000000000007</v>
      </c>
      <c r="E193" s="8">
        <v>2500</v>
      </c>
      <c r="F193" s="6">
        <v>1000</v>
      </c>
      <c r="G193" s="6">
        <v>4500</v>
      </c>
      <c r="H193" s="9">
        <f t="shared" si="15"/>
        <v>8000</v>
      </c>
      <c r="I193" s="9">
        <v>0</v>
      </c>
      <c r="J193" s="9">
        <v>8000</v>
      </c>
      <c r="K193" s="10">
        <v>7773</v>
      </c>
    </row>
    <row r="194" spans="1:11" ht="15.75">
      <c r="A194" s="5">
        <v>44368</v>
      </c>
      <c r="B194" s="6" t="s">
        <v>12</v>
      </c>
      <c r="C194" s="7">
        <v>13.31</v>
      </c>
      <c r="D194" s="7">
        <v>8.65</v>
      </c>
      <c r="E194" s="8">
        <v>2500</v>
      </c>
      <c r="F194" s="6">
        <v>1000</v>
      </c>
      <c r="G194" s="6">
        <v>4500</v>
      </c>
      <c r="H194" s="9">
        <f t="shared" si="15"/>
        <v>8000</v>
      </c>
      <c r="I194" s="9">
        <v>0</v>
      </c>
      <c r="J194" s="9">
        <v>8000</v>
      </c>
      <c r="K194" s="10">
        <v>8227</v>
      </c>
    </row>
    <row r="195" spans="1:11" ht="15.75">
      <c r="A195" s="5">
        <v>44369</v>
      </c>
      <c r="B195" s="6" t="s">
        <v>12</v>
      </c>
      <c r="C195" s="7">
        <v>13.31</v>
      </c>
      <c r="D195" s="7">
        <v>8.65</v>
      </c>
      <c r="E195" s="8">
        <v>3000</v>
      </c>
      <c r="F195" s="6">
        <v>1000</v>
      </c>
      <c r="G195" s="6">
        <v>5500</v>
      </c>
      <c r="H195" s="9">
        <f t="shared" si="15"/>
        <v>9500</v>
      </c>
      <c r="I195" s="9">
        <v>0</v>
      </c>
      <c r="J195" s="9">
        <v>9500</v>
      </c>
      <c r="K195" s="10">
        <v>9500</v>
      </c>
    </row>
    <row r="196" spans="1:11" ht="15.75">
      <c r="A196" s="5">
        <v>44370</v>
      </c>
      <c r="B196" s="6" t="s">
        <v>12</v>
      </c>
      <c r="C196" s="7">
        <v>13.31</v>
      </c>
      <c r="D196" s="7">
        <v>8.65</v>
      </c>
      <c r="E196" s="8">
        <v>3000</v>
      </c>
      <c r="F196" s="6">
        <v>1800</v>
      </c>
      <c r="G196" s="6">
        <v>6000</v>
      </c>
      <c r="H196" s="9">
        <f t="shared" si="15"/>
        <v>10800</v>
      </c>
      <c r="I196" s="9">
        <v>0</v>
      </c>
      <c r="J196" s="9">
        <v>10800</v>
      </c>
      <c r="K196" s="10">
        <v>10800</v>
      </c>
    </row>
    <row r="197" spans="1:11" ht="15.75">
      <c r="A197" s="5">
        <v>44371</v>
      </c>
      <c r="B197" s="6" t="s">
        <v>12</v>
      </c>
      <c r="C197" s="7">
        <v>13.23</v>
      </c>
      <c r="D197" s="7">
        <v>8.4</v>
      </c>
      <c r="E197" s="8">
        <v>4000</v>
      </c>
      <c r="F197" s="6">
        <v>1800</v>
      </c>
      <c r="G197" s="6">
        <v>7000</v>
      </c>
      <c r="H197" s="9">
        <f t="shared" si="15"/>
        <v>12800</v>
      </c>
      <c r="I197" s="9">
        <v>0</v>
      </c>
      <c r="J197" s="9">
        <v>12800</v>
      </c>
      <c r="K197" s="10">
        <v>12193</v>
      </c>
    </row>
    <row r="198" spans="1:11" ht="15.75">
      <c r="A198" s="5">
        <v>44372</v>
      </c>
      <c r="B198" s="6" t="s">
        <v>12</v>
      </c>
      <c r="C198" s="7">
        <v>13.17</v>
      </c>
      <c r="D198" s="7">
        <v>8.1999999999999993</v>
      </c>
      <c r="E198" s="8">
        <v>4000</v>
      </c>
      <c r="F198" s="6">
        <v>1800</v>
      </c>
      <c r="G198" s="6">
        <v>7000</v>
      </c>
      <c r="H198" s="9">
        <f t="shared" si="15"/>
        <v>12800</v>
      </c>
      <c r="I198" s="9">
        <v>0</v>
      </c>
      <c r="J198" s="9">
        <v>12800</v>
      </c>
      <c r="K198" s="10">
        <v>12345</v>
      </c>
    </row>
    <row r="199" spans="1:11" ht="15.75">
      <c r="A199" s="5">
        <v>44373</v>
      </c>
      <c r="B199" s="6" t="s">
        <v>12</v>
      </c>
      <c r="C199" s="7">
        <v>13.11</v>
      </c>
      <c r="D199" s="7">
        <v>8</v>
      </c>
      <c r="E199" s="8">
        <v>4000</v>
      </c>
      <c r="F199" s="6">
        <v>1800</v>
      </c>
      <c r="G199" s="6">
        <v>7000</v>
      </c>
      <c r="H199" s="9">
        <f t="shared" si="15"/>
        <v>12800</v>
      </c>
      <c r="I199" s="9">
        <v>0</v>
      </c>
      <c r="J199" s="9">
        <v>12800</v>
      </c>
      <c r="K199" s="10">
        <v>12344</v>
      </c>
    </row>
    <row r="200" spans="1:11" ht="15.75">
      <c r="A200" s="5">
        <v>44374</v>
      </c>
      <c r="B200" s="6" t="s">
        <v>12</v>
      </c>
      <c r="C200" s="7">
        <v>13</v>
      </c>
      <c r="D200" s="7">
        <v>7.65</v>
      </c>
      <c r="E200" s="8">
        <v>4000</v>
      </c>
      <c r="F200" s="6">
        <v>1800</v>
      </c>
      <c r="G200" s="6">
        <v>7000</v>
      </c>
      <c r="H200" s="9">
        <f t="shared" si="15"/>
        <v>12800</v>
      </c>
      <c r="I200" s="9">
        <v>0</v>
      </c>
      <c r="J200" s="9">
        <v>12800</v>
      </c>
      <c r="K200" s="9">
        <v>11970</v>
      </c>
    </row>
    <row r="201" spans="1:11" ht="15.75">
      <c r="A201" s="5">
        <v>44375</v>
      </c>
      <c r="B201" s="6" t="s">
        <v>12</v>
      </c>
      <c r="C201" s="7">
        <v>12.94</v>
      </c>
      <c r="D201" s="7">
        <v>7.45</v>
      </c>
      <c r="E201" s="8">
        <v>3700</v>
      </c>
      <c r="F201" s="6">
        <v>1800</v>
      </c>
      <c r="G201" s="6">
        <v>6700</v>
      </c>
      <c r="H201" s="9">
        <f t="shared" si="15"/>
        <v>12200</v>
      </c>
      <c r="I201" s="9">
        <v>0</v>
      </c>
      <c r="J201" s="9">
        <v>12200</v>
      </c>
      <c r="K201" s="9">
        <v>11752</v>
      </c>
    </row>
    <row r="202" spans="1:11" ht="15.75">
      <c r="A202" s="5">
        <v>44376</v>
      </c>
      <c r="B202" s="6" t="s">
        <v>12</v>
      </c>
      <c r="C202" s="7">
        <v>13.11</v>
      </c>
      <c r="D202" s="7">
        <v>8</v>
      </c>
      <c r="E202" s="8">
        <v>4000</v>
      </c>
      <c r="F202" s="6">
        <v>2000</v>
      </c>
      <c r="G202" s="6">
        <v>6600</v>
      </c>
      <c r="H202" s="9">
        <f t="shared" si="15"/>
        <v>12600</v>
      </c>
      <c r="I202" s="9">
        <v>0</v>
      </c>
      <c r="J202" s="9">
        <v>12600</v>
      </c>
      <c r="K202" s="9">
        <v>13878</v>
      </c>
    </row>
    <row r="203" spans="1:11" ht="15.75">
      <c r="A203" s="5">
        <v>44377</v>
      </c>
      <c r="B203" s="6" t="s">
        <v>12</v>
      </c>
      <c r="C203" s="7">
        <v>13.26</v>
      </c>
      <c r="D203" s="7">
        <v>5.5</v>
      </c>
      <c r="E203" s="8">
        <v>4000</v>
      </c>
      <c r="F203" s="6">
        <v>2400</v>
      </c>
      <c r="G203" s="6">
        <v>6600</v>
      </c>
      <c r="H203" s="9">
        <f t="shared" si="15"/>
        <v>13000</v>
      </c>
      <c r="I203" s="9">
        <v>0</v>
      </c>
      <c r="J203" s="9">
        <v>13000</v>
      </c>
      <c r="K203" s="9">
        <v>14138</v>
      </c>
    </row>
    <row r="204" spans="1:11" ht="15.75">
      <c r="A204" s="2" t="s">
        <v>13</v>
      </c>
      <c r="B204" s="2"/>
      <c r="C204" s="2"/>
      <c r="D204" s="2"/>
      <c r="E204" s="11">
        <f t="shared" ref="E204:K204" si="16">SUM(E174:E203)</f>
        <v>47700</v>
      </c>
      <c r="F204" s="11">
        <f t="shared" si="16"/>
        <v>21700</v>
      </c>
      <c r="G204" s="11">
        <f t="shared" si="16"/>
        <v>98400</v>
      </c>
      <c r="H204" s="11">
        <f t="shared" si="16"/>
        <v>167800</v>
      </c>
      <c r="I204" s="11">
        <f t="shared" si="16"/>
        <v>0</v>
      </c>
      <c r="J204" s="11">
        <f t="shared" si="16"/>
        <v>167800</v>
      </c>
      <c r="K204" s="11">
        <f t="shared" si="16"/>
        <v>163498</v>
      </c>
    </row>
    <row r="205" spans="1:11" ht="15.75">
      <c r="A205" s="12"/>
      <c r="B205" s="2"/>
      <c r="C205" s="2"/>
      <c r="D205" s="2"/>
      <c r="E205" s="13">
        <f t="shared" ref="E205:K205" si="17">SUM(E204/11575)</f>
        <v>4.1209503239740819</v>
      </c>
      <c r="F205" s="13">
        <f t="shared" si="17"/>
        <v>1.8747300215982721</v>
      </c>
      <c r="G205" s="13">
        <f t="shared" si="17"/>
        <v>8.5010799136069117</v>
      </c>
      <c r="H205" s="13">
        <f t="shared" si="17"/>
        <v>14.496760259179265</v>
      </c>
      <c r="I205" s="13">
        <f t="shared" si="17"/>
        <v>0</v>
      </c>
      <c r="J205" s="13">
        <f t="shared" si="17"/>
        <v>14.496760259179265</v>
      </c>
      <c r="K205" s="13">
        <f t="shared" si="17"/>
        <v>14.125097192224622</v>
      </c>
    </row>
    <row r="206" spans="1:11" ht="15.75">
      <c r="A206" s="1" t="s">
        <v>22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47.25">
      <c r="A207" s="2" t="s">
        <v>1</v>
      </c>
      <c r="B207" s="2" t="s">
        <v>2</v>
      </c>
      <c r="C207" s="3" t="s">
        <v>18</v>
      </c>
      <c r="D207" s="3" t="s">
        <v>4</v>
      </c>
      <c r="E207" s="3" t="s">
        <v>5</v>
      </c>
      <c r="F207" s="3" t="s">
        <v>6</v>
      </c>
      <c r="G207" s="3" t="s">
        <v>7</v>
      </c>
      <c r="H207" s="3" t="s">
        <v>8</v>
      </c>
      <c r="I207" s="3" t="s">
        <v>9</v>
      </c>
      <c r="J207" s="3" t="s">
        <v>19</v>
      </c>
      <c r="K207" s="4" t="s">
        <v>11</v>
      </c>
    </row>
    <row r="208" spans="1:11" ht="15.75">
      <c r="A208" s="5">
        <v>44378</v>
      </c>
      <c r="B208" s="6" t="s">
        <v>12</v>
      </c>
      <c r="C208" s="7">
        <v>13.44</v>
      </c>
      <c r="D208" s="7">
        <v>9.1</v>
      </c>
      <c r="E208" s="8">
        <v>4000</v>
      </c>
      <c r="F208" s="8">
        <v>2300</v>
      </c>
      <c r="G208" s="8">
        <v>6600</v>
      </c>
      <c r="H208" s="9">
        <f t="shared" ref="H208:H238" si="18">E208+F208+G208</f>
        <v>12900</v>
      </c>
      <c r="I208" s="9">
        <v>0</v>
      </c>
      <c r="J208" s="9">
        <v>12900</v>
      </c>
      <c r="K208" s="10">
        <v>14280</v>
      </c>
    </row>
    <row r="209" spans="1:11" ht="15.75">
      <c r="A209" s="5">
        <v>44379</v>
      </c>
      <c r="B209" s="6" t="s">
        <v>12</v>
      </c>
      <c r="C209" s="7">
        <v>13.6</v>
      </c>
      <c r="D209" s="7">
        <v>9.6</v>
      </c>
      <c r="E209" s="8">
        <v>4000</v>
      </c>
      <c r="F209" s="6">
        <v>2300</v>
      </c>
      <c r="G209" s="8">
        <v>7000</v>
      </c>
      <c r="H209" s="9">
        <f t="shared" si="18"/>
        <v>13300</v>
      </c>
      <c r="I209" s="9">
        <v>0</v>
      </c>
      <c r="J209" s="9">
        <v>13300</v>
      </c>
      <c r="K209" s="10">
        <v>14534</v>
      </c>
    </row>
    <row r="210" spans="1:11" ht="15.75">
      <c r="A210" s="5">
        <v>44380</v>
      </c>
      <c r="B210" s="6" t="s">
        <v>12</v>
      </c>
      <c r="C210" s="7">
        <v>13.81</v>
      </c>
      <c r="D210" s="7">
        <v>10.3</v>
      </c>
      <c r="E210" s="8">
        <v>3000</v>
      </c>
      <c r="F210" s="6">
        <v>1900</v>
      </c>
      <c r="G210" s="8">
        <v>7000</v>
      </c>
      <c r="H210" s="9">
        <f t="shared" si="18"/>
        <v>11900</v>
      </c>
      <c r="I210" s="9">
        <v>0</v>
      </c>
      <c r="J210" s="9">
        <v>11900</v>
      </c>
      <c r="K210" s="10">
        <v>13520</v>
      </c>
    </row>
    <row r="211" spans="1:11" ht="15.75">
      <c r="A211" s="5">
        <v>44381</v>
      </c>
      <c r="B211" s="6" t="s">
        <v>12</v>
      </c>
      <c r="C211" s="7">
        <v>13.99</v>
      </c>
      <c r="D211" s="7">
        <v>10.9</v>
      </c>
      <c r="E211" s="8">
        <v>4000</v>
      </c>
      <c r="F211" s="6">
        <v>2100</v>
      </c>
      <c r="G211" s="8">
        <v>3000</v>
      </c>
      <c r="H211" s="9">
        <f t="shared" si="18"/>
        <v>9100</v>
      </c>
      <c r="I211" s="9">
        <v>0</v>
      </c>
      <c r="J211" s="9">
        <v>9100</v>
      </c>
      <c r="K211" s="10">
        <v>10489</v>
      </c>
    </row>
    <row r="212" spans="1:11" ht="15.75">
      <c r="A212" s="5">
        <v>44382</v>
      </c>
      <c r="B212" s="6" t="s">
        <v>12</v>
      </c>
      <c r="C212" s="7">
        <v>13.99</v>
      </c>
      <c r="D212" s="7">
        <v>10.9</v>
      </c>
      <c r="E212" s="8">
        <v>3500</v>
      </c>
      <c r="F212" s="6">
        <v>2300</v>
      </c>
      <c r="G212" s="8">
        <v>7000</v>
      </c>
      <c r="H212" s="9">
        <f t="shared" si="18"/>
        <v>12800</v>
      </c>
      <c r="I212" s="9">
        <v>0</v>
      </c>
      <c r="J212" s="9">
        <v>12800</v>
      </c>
      <c r="K212" s="9">
        <v>12800</v>
      </c>
    </row>
    <row r="213" spans="1:11" ht="15.75">
      <c r="A213" s="5">
        <v>44383</v>
      </c>
      <c r="B213" s="6" t="s">
        <v>12</v>
      </c>
      <c r="C213" s="7">
        <v>13.98</v>
      </c>
      <c r="D213" s="7">
        <v>10.85</v>
      </c>
      <c r="E213" s="8">
        <v>3500</v>
      </c>
      <c r="F213" s="6">
        <v>1900</v>
      </c>
      <c r="G213" s="8">
        <v>7000</v>
      </c>
      <c r="H213" s="9">
        <f t="shared" si="18"/>
        <v>12400</v>
      </c>
      <c r="I213" s="9">
        <v>3193</v>
      </c>
      <c r="J213" s="9">
        <v>15593</v>
      </c>
      <c r="K213" s="10">
        <v>15439</v>
      </c>
    </row>
    <row r="214" spans="1:11" ht="15.75">
      <c r="A214" s="5">
        <v>44384</v>
      </c>
      <c r="B214" s="6" t="s">
        <v>12</v>
      </c>
      <c r="C214" s="7">
        <v>13.95</v>
      </c>
      <c r="D214" s="7">
        <v>10.75</v>
      </c>
      <c r="E214" s="8">
        <v>4000</v>
      </c>
      <c r="F214" s="6">
        <v>2200</v>
      </c>
      <c r="G214" s="8">
        <v>7500</v>
      </c>
      <c r="H214" s="9">
        <f t="shared" si="18"/>
        <v>13700</v>
      </c>
      <c r="I214" s="9">
        <v>0</v>
      </c>
      <c r="J214" s="9">
        <v>13700</v>
      </c>
      <c r="K214" s="10">
        <v>13498</v>
      </c>
    </row>
    <row r="215" spans="1:11" ht="15.75">
      <c r="A215" s="5">
        <v>44385</v>
      </c>
      <c r="B215" s="6" t="s">
        <v>12</v>
      </c>
      <c r="C215" s="7">
        <v>13.99</v>
      </c>
      <c r="D215" s="7">
        <v>10.9</v>
      </c>
      <c r="E215" s="8">
        <v>4300</v>
      </c>
      <c r="F215" s="6">
        <v>2300</v>
      </c>
      <c r="G215" s="8">
        <v>7500</v>
      </c>
      <c r="H215" s="9">
        <f t="shared" si="18"/>
        <v>14100</v>
      </c>
      <c r="I215" s="9">
        <v>3200</v>
      </c>
      <c r="J215" s="9">
        <v>17300</v>
      </c>
      <c r="K215" s="10">
        <v>17685</v>
      </c>
    </row>
    <row r="216" spans="1:11" ht="15.75">
      <c r="A216" s="5">
        <v>44386</v>
      </c>
      <c r="B216" s="6" t="s">
        <v>12</v>
      </c>
      <c r="C216" s="7">
        <v>13.99</v>
      </c>
      <c r="D216" s="7">
        <v>10.9</v>
      </c>
      <c r="E216" s="8">
        <v>4300</v>
      </c>
      <c r="F216" s="6">
        <v>2300</v>
      </c>
      <c r="G216" s="8">
        <v>7000</v>
      </c>
      <c r="H216" s="9">
        <f t="shared" si="18"/>
        <v>13600</v>
      </c>
      <c r="I216" s="9">
        <v>3200</v>
      </c>
      <c r="J216" s="9">
        <v>16800</v>
      </c>
      <c r="K216" s="10">
        <v>16800</v>
      </c>
    </row>
    <row r="217" spans="1:11" ht="15.75">
      <c r="A217" s="5">
        <v>44387</v>
      </c>
      <c r="B217" s="6" t="s">
        <v>12</v>
      </c>
      <c r="C217" s="7">
        <v>13.99</v>
      </c>
      <c r="D217" s="7">
        <v>10.9</v>
      </c>
      <c r="E217" s="8">
        <v>4300</v>
      </c>
      <c r="F217" s="6">
        <v>2300</v>
      </c>
      <c r="G217" s="8">
        <v>7000</v>
      </c>
      <c r="H217" s="9">
        <f t="shared" si="18"/>
        <v>13600</v>
      </c>
      <c r="I217" s="9">
        <v>18282</v>
      </c>
      <c r="J217" s="9">
        <v>31882</v>
      </c>
      <c r="K217" s="10">
        <v>31882</v>
      </c>
    </row>
    <row r="218" spans="1:11" ht="15.75">
      <c r="A218" s="5">
        <v>44388</v>
      </c>
      <c r="B218" s="6" t="s">
        <v>12</v>
      </c>
      <c r="C218" s="7">
        <v>13.99</v>
      </c>
      <c r="D218" s="7">
        <v>10.9</v>
      </c>
      <c r="E218" s="8">
        <v>4300</v>
      </c>
      <c r="F218" s="6">
        <v>2300</v>
      </c>
      <c r="G218" s="8">
        <v>7000</v>
      </c>
      <c r="H218" s="9">
        <f t="shared" si="18"/>
        <v>13600</v>
      </c>
      <c r="I218" s="9">
        <v>23141</v>
      </c>
      <c r="J218" s="9">
        <v>36741</v>
      </c>
      <c r="K218" s="10">
        <v>36741</v>
      </c>
    </row>
    <row r="219" spans="1:11" ht="15.75">
      <c r="A219" s="5">
        <v>44389</v>
      </c>
      <c r="B219" s="6" t="s">
        <v>12</v>
      </c>
      <c r="C219" s="7">
        <v>13.99</v>
      </c>
      <c r="D219" s="7">
        <v>10.9</v>
      </c>
      <c r="E219" s="8">
        <v>3800</v>
      </c>
      <c r="F219" s="6">
        <v>2200</v>
      </c>
      <c r="G219" s="8">
        <v>6000</v>
      </c>
      <c r="H219" s="9">
        <f t="shared" si="18"/>
        <v>12000</v>
      </c>
      <c r="I219" s="9">
        <v>30348</v>
      </c>
      <c r="J219" s="9">
        <v>42348</v>
      </c>
      <c r="K219" s="10">
        <v>42348</v>
      </c>
    </row>
    <row r="220" spans="1:11" ht="15.75">
      <c r="A220" s="5">
        <v>44390</v>
      </c>
      <c r="B220" s="6" t="s">
        <v>12</v>
      </c>
      <c r="C220" s="7">
        <v>13.92</v>
      </c>
      <c r="D220" s="7">
        <v>10.65</v>
      </c>
      <c r="E220" s="8">
        <v>3000</v>
      </c>
      <c r="F220" s="6">
        <v>2200</v>
      </c>
      <c r="G220" s="8">
        <v>3000</v>
      </c>
      <c r="H220" s="9">
        <f t="shared" si="18"/>
        <v>8200</v>
      </c>
      <c r="I220" s="9">
        <v>48683</v>
      </c>
      <c r="J220" s="9">
        <v>56029</v>
      </c>
      <c r="K220" s="10">
        <v>55412</v>
      </c>
    </row>
    <row r="221" spans="1:11" ht="15.75">
      <c r="A221" s="5">
        <v>44391</v>
      </c>
      <c r="B221" s="6" t="s">
        <v>12</v>
      </c>
      <c r="C221" s="7">
        <v>13.99</v>
      </c>
      <c r="D221" s="7">
        <v>10.9</v>
      </c>
      <c r="E221" s="8">
        <v>2400</v>
      </c>
      <c r="F221" s="6">
        <v>2200</v>
      </c>
      <c r="G221" s="6">
        <v>2000</v>
      </c>
      <c r="H221" s="9">
        <f t="shared" si="18"/>
        <v>6600</v>
      </c>
      <c r="I221" s="9">
        <v>108279</v>
      </c>
      <c r="J221" s="9">
        <v>114879</v>
      </c>
      <c r="K221" s="10">
        <v>115496</v>
      </c>
    </row>
    <row r="222" spans="1:11" ht="15.75">
      <c r="A222" s="5">
        <v>44392</v>
      </c>
      <c r="B222" s="6" t="s">
        <v>12</v>
      </c>
      <c r="C222" s="7">
        <v>13.58</v>
      </c>
      <c r="D222" s="7">
        <v>9.5500000000000007</v>
      </c>
      <c r="E222" s="8">
        <v>2000</v>
      </c>
      <c r="F222" s="6">
        <v>1700</v>
      </c>
      <c r="G222" s="6">
        <v>1000</v>
      </c>
      <c r="H222" s="9">
        <f t="shared" si="18"/>
        <v>4700</v>
      </c>
      <c r="I222" s="9">
        <v>112178</v>
      </c>
      <c r="J222" s="9">
        <v>116878</v>
      </c>
      <c r="K222" s="10">
        <v>113715</v>
      </c>
    </row>
    <row r="223" spans="1:11" ht="15.75">
      <c r="A223" s="5">
        <v>44393</v>
      </c>
      <c r="B223" s="6" t="s">
        <v>12</v>
      </c>
      <c r="C223" s="7">
        <v>13.61</v>
      </c>
      <c r="D223" s="7">
        <v>9.65</v>
      </c>
      <c r="E223" s="8">
        <v>1500</v>
      </c>
      <c r="F223" s="6">
        <v>1700</v>
      </c>
      <c r="G223" s="6">
        <v>4000</v>
      </c>
      <c r="H223" s="9">
        <f t="shared" si="18"/>
        <v>7200</v>
      </c>
      <c r="I223" s="9">
        <v>128663</v>
      </c>
      <c r="J223" s="9">
        <v>135863</v>
      </c>
      <c r="K223" s="10">
        <v>136095</v>
      </c>
    </row>
    <row r="224" spans="1:11" ht="15.75">
      <c r="A224" s="5">
        <v>44394</v>
      </c>
      <c r="B224" s="6" t="s">
        <v>12</v>
      </c>
      <c r="C224" s="7">
        <v>13.87</v>
      </c>
      <c r="D224" s="7">
        <v>10.5</v>
      </c>
      <c r="E224" s="8">
        <v>1500</v>
      </c>
      <c r="F224" s="6">
        <v>1700</v>
      </c>
      <c r="G224" s="6">
        <v>5000</v>
      </c>
      <c r="H224" s="9">
        <f t="shared" si="18"/>
        <v>8200</v>
      </c>
      <c r="I224" s="9">
        <v>141611</v>
      </c>
      <c r="J224" s="9">
        <v>149811</v>
      </c>
      <c r="K224" s="10">
        <v>151817</v>
      </c>
    </row>
    <row r="225" spans="1:11" ht="15.75">
      <c r="A225" s="5">
        <v>44395</v>
      </c>
      <c r="B225" s="6" t="s">
        <v>12</v>
      </c>
      <c r="C225" s="7">
        <v>12.94</v>
      </c>
      <c r="D225" s="7">
        <v>7.45</v>
      </c>
      <c r="E225" s="8">
        <v>2000</v>
      </c>
      <c r="F225" s="6">
        <v>2000</v>
      </c>
      <c r="G225" s="6">
        <v>6000</v>
      </c>
      <c r="H225" s="9">
        <f t="shared" si="18"/>
        <v>10000</v>
      </c>
      <c r="I225" s="9">
        <v>119449</v>
      </c>
      <c r="J225" s="9">
        <v>129449</v>
      </c>
      <c r="K225" s="10">
        <v>122336</v>
      </c>
    </row>
    <row r="226" spans="1:11" ht="15.75">
      <c r="A226" s="5">
        <v>44396</v>
      </c>
      <c r="B226" s="6" t="s">
        <v>12</v>
      </c>
      <c r="C226" s="7">
        <v>12.71</v>
      </c>
      <c r="D226" s="7">
        <v>6.7</v>
      </c>
      <c r="E226" s="8">
        <v>2950</v>
      </c>
      <c r="F226" s="6">
        <v>2000</v>
      </c>
      <c r="G226" s="6">
        <v>5200</v>
      </c>
      <c r="H226" s="9">
        <f t="shared" si="18"/>
        <v>10150</v>
      </c>
      <c r="I226" s="9">
        <v>58816</v>
      </c>
      <c r="J226" s="9">
        <v>68966</v>
      </c>
      <c r="K226" s="10">
        <v>67254</v>
      </c>
    </row>
    <row r="227" spans="1:11" ht="15.75">
      <c r="A227" s="5">
        <v>44397</v>
      </c>
      <c r="B227" s="6" t="s">
        <v>12</v>
      </c>
      <c r="C227" s="7">
        <v>13.78</v>
      </c>
      <c r="D227" s="7">
        <v>10.199999999999999</v>
      </c>
      <c r="E227" s="8">
        <v>3500</v>
      </c>
      <c r="F227" s="6">
        <v>2000</v>
      </c>
      <c r="G227" s="6">
        <v>6500</v>
      </c>
      <c r="H227" s="9">
        <f t="shared" si="18"/>
        <v>12000</v>
      </c>
      <c r="I227" s="9">
        <v>47499</v>
      </c>
      <c r="J227" s="9">
        <v>59499</v>
      </c>
      <c r="K227" s="10">
        <v>67629</v>
      </c>
    </row>
    <row r="228" spans="1:11" ht="15.75">
      <c r="A228" s="5">
        <v>44398</v>
      </c>
      <c r="B228" s="6" t="s">
        <v>12</v>
      </c>
      <c r="C228" s="7">
        <v>13.79</v>
      </c>
      <c r="D228" s="7">
        <v>10.25</v>
      </c>
      <c r="E228" s="8">
        <v>3500</v>
      </c>
      <c r="F228" s="6">
        <v>2000</v>
      </c>
      <c r="G228" s="6">
        <v>7000</v>
      </c>
      <c r="H228" s="9">
        <f t="shared" si="18"/>
        <v>12500</v>
      </c>
      <c r="I228" s="9">
        <v>53833</v>
      </c>
      <c r="J228" s="9">
        <v>66333</v>
      </c>
      <c r="K228" s="10">
        <v>66411</v>
      </c>
    </row>
    <row r="229" spans="1:11" ht="15.75">
      <c r="A229" s="5">
        <v>44399</v>
      </c>
      <c r="B229" s="6" t="s">
        <v>12</v>
      </c>
      <c r="C229" s="7">
        <v>13.61</v>
      </c>
      <c r="D229" s="7">
        <v>9.65</v>
      </c>
      <c r="E229" s="8">
        <v>3500</v>
      </c>
      <c r="F229" s="6">
        <v>2000</v>
      </c>
      <c r="G229" s="6">
        <v>6000</v>
      </c>
      <c r="H229" s="9">
        <f t="shared" si="18"/>
        <v>11500</v>
      </c>
      <c r="I229" s="9">
        <v>52108</v>
      </c>
      <c r="J229" s="9">
        <v>63608</v>
      </c>
      <c r="K229" s="10">
        <v>62219</v>
      </c>
    </row>
    <row r="230" spans="1:11" ht="15.75">
      <c r="A230" s="5">
        <v>44400</v>
      </c>
      <c r="B230" s="6" t="s">
        <v>12</v>
      </c>
      <c r="C230" s="7">
        <v>13.26</v>
      </c>
      <c r="D230" s="7">
        <v>8.5</v>
      </c>
      <c r="E230" s="8">
        <v>0</v>
      </c>
      <c r="F230" s="6">
        <v>0</v>
      </c>
      <c r="G230" s="6">
        <v>2000</v>
      </c>
      <c r="H230" s="9">
        <f t="shared" si="18"/>
        <v>2000</v>
      </c>
      <c r="I230" s="9">
        <v>110047</v>
      </c>
      <c r="J230" s="9">
        <v>112047</v>
      </c>
      <c r="K230" s="10">
        <v>109356</v>
      </c>
    </row>
    <row r="231" spans="1:11" ht="15.75">
      <c r="A231" s="5">
        <v>44401</v>
      </c>
      <c r="B231" s="6" t="s">
        <v>12</v>
      </c>
      <c r="C231" s="7">
        <v>12.4</v>
      </c>
      <c r="D231" s="7">
        <v>5.7</v>
      </c>
      <c r="E231" s="8">
        <v>0</v>
      </c>
      <c r="F231" s="6">
        <v>0</v>
      </c>
      <c r="G231" s="6">
        <v>2000</v>
      </c>
      <c r="H231" s="9">
        <f t="shared" si="18"/>
        <v>2000</v>
      </c>
      <c r="I231" s="9">
        <v>326085</v>
      </c>
      <c r="J231" s="9">
        <v>328085</v>
      </c>
      <c r="K231" s="10">
        <v>321693</v>
      </c>
    </row>
    <row r="232" spans="1:11" ht="15.75">
      <c r="A232" s="5">
        <v>44402</v>
      </c>
      <c r="B232" s="6" t="s">
        <v>12</v>
      </c>
      <c r="C232" s="7">
        <v>13.84</v>
      </c>
      <c r="D232" s="7">
        <v>10.4</v>
      </c>
      <c r="E232" s="8">
        <v>1500</v>
      </c>
      <c r="F232" s="6">
        <v>700</v>
      </c>
      <c r="G232" s="6">
        <v>2000</v>
      </c>
      <c r="H232" s="9">
        <f t="shared" si="18"/>
        <v>4200</v>
      </c>
      <c r="I232" s="9">
        <v>821666</v>
      </c>
      <c r="J232" s="9">
        <v>825866</v>
      </c>
      <c r="K232" s="10">
        <v>836723</v>
      </c>
    </row>
    <row r="233" spans="1:11" ht="15.75">
      <c r="A233" s="5">
        <v>44403</v>
      </c>
      <c r="B233" s="6" t="s">
        <v>12</v>
      </c>
      <c r="C233" s="7">
        <v>14.17</v>
      </c>
      <c r="D233" s="7">
        <v>11.5</v>
      </c>
      <c r="E233" s="8">
        <v>2500</v>
      </c>
      <c r="F233" s="6">
        <v>1200</v>
      </c>
      <c r="G233" s="6">
        <v>2000</v>
      </c>
      <c r="H233" s="9">
        <f t="shared" si="18"/>
        <v>5700</v>
      </c>
      <c r="I233" s="9">
        <v>956777</v>
      </c>
      <c r="J233" s="9">
        <v>962477</v>
      </c>
      <c r="K233" s="10">
        <v>962477</v>
      </c>
    </row>
    <row r="234" spans="1:11" ht="15.75">
      <c r="A234" s="5">
        <v>44404</v>
      </c>
      <c r="B234" s="6" t="s">
        <v>12</v>
      </c>
      <c r="C234" s="7">
        <v>13.2</v>
      </c>
      <c r="D234" s="7">
        <v>8.3000000000000007</v>
      </c>
      <c r="E234" s="8">
        <v>3500</v>
      </c>
      <c r="F234" s="6">
        <v>1800</v>
      </c>
      <c r="G234" s="6">
        <v>5000</v>
      </c>
      <c r="H234" s="9">
        <f t="shared" si="18"/>
        <v>10300</v>
      </c>
      <c r="I234" s="9">
        <v>580922</v>
      </c>
      <c r="J234" s="9">
        <v>591222</v>
      </c>
      <c r="K234" s="9">
        <v>584912</v>
      </c>
    </row>
    <row r="235" spans="1:11" ht="15.75">
      <c r="A235" s="5">
        <v>44405</v>
      </c>
      <c r="B235" s="6" t="s">
        <v>12</v>
      </c>
      <c r="C235" s="7">
        <v>12.38</v>
      </c>
      <c r="D235" s="7">
        <v>5.6</v>
      </c>
      <c r="E235" s="8">
        <v>2900</v>
      </c>
      <c r="F235" s="6">
        <v>1800</v>
      </c>
      <c r="G235" s="6">
        <v>5000</v>
      </c>
      <c r="H235" s="9">
        <f t="shared" si="18"/>
        <v>9700</v>
      </c>
      <c r="I235" s="9">
        <v>313958</v>
      </c>
      <c r="J235" s="9">
        <v>323658</v>
      </c>
      <c r="K235" s="9">
        <v>317579</v>
      </c>
    </row>
    <row r="236" spans="1:11" ht="15.75">
      <c r="A236" s="5">
        <v>44406</v>
      </c>
      <c r="B236" s="6" t="s">
        <v>12</v>
      </c>
      <c r="C236" s="7">
        <v>13.02</v>
      </c>
      <c r="D236" s="7">
        <v>7.7</v>
      </c>
      <c r="E236" s="8">
        <v>3500</v>
      </c>
      <c r="F236" s="6">
        <v>1800</v>
      </c>
      <c r="G236" s="6">
        <v>6000</v>
      </c>
      <c r="H236" s="9">
        <f t="shared" si="18"/>
        <v>11300</v>
      </c>
      <c r="I236" s="9">
        <v>235338</v>
      </c>
      <c r="J236" s="9">
        <v>246638</v>
      </c>
      <c r="K236" s="9">
        <v>251354</v>
      </c>
    </row>
    <row r="237" spans="1:11" ht="15.75">
      <c r="A237" s="5">
        <v>44407</v>
      </c>
      <c r="B237" s="6" t="s">
        <v>12</v>
      </c>
      <c r="C237" s="7">
        <v>13.76</v>
      </c>
      <c r="D237" s="7">
        <v>10.15</v>
      </c>
      <c r="E237" s="8">
        <v>3500</v>
      </c>
      <c r="F237" s="6">
        <v>1800</v>
      </c>
      <c r="G237" s="6">
        <v>7000</v>
      </c>
      <c r="H237" s="9">
        <f t="shared" si="18"/>
        <v>12300</v>
      </c>
      <c r="I237" s="9">
        <v>160303</v>
      </c>
      <c r="J237" s="9">
        <v>172603</v>
      </c>
      <c r="K237" s="9">
        <v>178270</v>
      </c>
    </row>
    <row r="238" spans="1:11" ht="15.75">
      <c r="A238" s="5">
        <v>44408</v>
      </c>
      <c r="B238" s="6" t="s">
        <v>12</v>
      </c>
      <c r="C238" s="7">
        <v>13.99</v>
      </c>
      <c r="D238" s="7">
        <v>10.9</v>
      </c>
      <c r="E238" s="8">
        <v>3500</v>
      </c>
      <c r="F238" s="6">
        <v>1800</v>
      </c>
      <c r="G238" s="6">
        <v>7000</v>
      </c>
      <c r="H238" s="9">
        <f t="shared" si="18"/>
        <v>12300</v>
      </c>
      <c r="I238" s="9">
        <v>135610</v>
      </c>
      <c r="J238" s="9">
        <v>147910</v>
      </c>
      <c r="K238" s="9">
        <v>149684</v>
      </c>
    </row>
    <row r="239" spans="1:11" ht="15.75">
      <c r="A239" s="2" t="s">
        <v>13</v>
      </c>
      <c r="B239" s="2"/>
      <c r="C239" s="2"/>
      <c r="D239" s="2"/>
      <c r="E239" s="11">
        <f>SUM(E208:E238)</f>
        <v>93750</v>
      </c>
      <c r="F239" s="11">
        <f>SUM(F208:F238)</f>
        <v>56800</v>
      </c>
      <c r="G239" s="11">
        <f>SUM(G208:G238)</f>
        <v>163300</v>
      </c>
      <c r="H239" s="11">
        <f>SUM(H208:H237)</f>
        <v>301550</v>
      </c>
      <c r="I239" s="11">
        <f>SUM(I208:I238)</f>
        <v>4593189</v>
      </c>
      <c r="J239" s="11">
        <f>SUM(J208:J238)</f>
        <v>4906185</v>
      </c>
      <c r="K239" s="11">
        <f>SUM(K208:K238)</f>
        <v>4910448</v>
      </c>
    </row>
    <row r="240" spans="1:11" ht="15.75">
      <c r="A240" s="12"/>
      <c r="B240" s="2"/>
      <c r="C240" s="2"/>
      <c r="D240" s="2"/>
      <c r="E240" s="13">
        <f t="shared" ref="E240:K240" si="19">SUM(E239/11575)</f>
        <v>8.0993520518358526</v>
      </c>
      <c r="F240" s="13">
        <f t="shared" si="19"/>
        <v>4.9071274298056151</v>
      </c>
      <c r="G240" s="13">
        <f t="shared" si="19"/>
        <v>14.107991360691145</v>
      </c>
      <c r="H240" s="13">
        <f t="shared" si="19"/>
        <v>26.051835853131749</v>
      </c>
      <c r="I240" s="13">
        <f t="shared" si="19"/>
        <v>396.81978401727861</v>
      </c>
      <c r="J240" s="13">
        <f t="shared" si="19"/>
        <v>423.86047516198704</v>
      </c>
      <c r="K240" s="13">
        <f t="shared" si="19"/>
        <v>424.22876889848811</v>
      </c>
    </row>
    <row r="241" spans="1:11" ht="15.75">
      <c r="A241" s="1" t="s">
        <v>23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47.25">
      <c r="A242" s="2" t="s">
        <v>1</v>
      </c>
      <c r="B242" s="2" t="s">
        <v>2</v>
      </c>
      <c r="C242" s="3" t="s">
        <v>18</v>
      </c>
      <c r="D242" s="3" t="s">
        <v>4</v>
      </c>
      <c r="E242" s="3" t="s">
        <v>5</v>
      </c>
      <c r="F242" s="3" t="s">
        <v>6</v>
      </c>
      <c r="G242" s="3" t="s">
        <v>7</v>
      </c>
      <c r="H242" s="3" t="s">
        <v>8</v>
      </c>
      <c r="I242" s="3" t="s">
        <v>9</v>
      </c>
      <c r="J242" s="3" t="s">
        <v>19</v>
      </c>
      <c r="K242" s="4" t="s">
        <v>11</v>
      </c>
    </row>
    <row r="243" spans="1:11" ht="15.75">
      <c r="A243" s="5">
        <v>44409</v>
      </c>
      <c r="B243" s="6" t="s">
        <v>12</v>
      </c>
      <c r="C243" s="7">
        <v>13.6</v>
      </c>
      <c r="D243" s="7">
        <v>9.6</v>
      </c>
      <c r="E243" s="8">
        <v>4000</v>
      </c>
      <c r="F243" s="8">
        <v>1800</v>
      </c>
      <c r="G243" s="8">
        <v>5000</v>
      </c>
      <c r="H243" s="9">
        <f t="shared" ref="H243:H273" si="20">E243+F243+G243</f>
        <v>10800</v>
      </c>
      <c r="I243" s="9">
        <v>122097</v>
      </c>
      <c r="J243" s="9">
        <v>132897</v>
      </c>
      <c r="K243" s="10">
        <v>129887</v>
      </c>
    </row>
    <row r="244" spans="1:11" ht="15.75">
      <c r="A244" s="5">
        <v>44410</v>
      </c>
      <c r="B244" s="6" t="s">
        <v>12</v>
      </c>
      <c r="C244" s="7">
        <v>13.84</v>
      </c>
      <c r="D244" s="7">
        <v>10.4</v>
      </c>
      <c r="E244" s="8">
        <v>4300</v>
      </c>
      <c r="F244" s="6">
        <v>2000</v>
      </c>
      <c r="G244" s="8">
        <v>7000</v>
      </c>
      <c r="H244" s="9">
        <f t="shared" si="20"/>
        <v>13300</v>
      </c>
      <c r="I244" s="9">
        <v>78929</v>
      </c>
      <c r="J244" s="9">
        <v>92229</v>
      </c>
      <c r="K244" s="10">
        <v>94081</v>
      </c>
    </row>
    <row r="245" spans="1:11" ht="15.75">
      <c r="A245" s="5">
        <v>44411</v>
      </c>
      <c r="B245" s="6" t="s">
        <v>12</v>
      </c>
      <c r="C245" s="7">
        <v>13.99</v>
      </c>
      <c r="D245" s="7">
        <v>10.9</v>
      </c>
      <c r="E245" s="8">
        <v>4300</v>
      </c>
      <c r="F245" s="6">
        <v>2000</v>
      </c>
      <c r="G245" s="8">
        <v>7500</v>
      </c>
      <c r="H245" s="9">
        <f t="shared" si="20"/>
        <v>13800</v>
      </c>
      <c r="I245" s="9">
        <v>78106</v>
      </c>
      <c r="J245" s="9">
        <v>91906</v>
      </c>
      <c r="K245" s="10">
        <v>93064</v>
      </c>
    </row>
    <row r="246" spans="1:11" ht="15.75">
      <c r="A246" s="5">
        <v>44412</v>
      </c>
      <c r="B246" s="6" t="s">
        <v>12</v>
      </c>
      <c r="C246" s="7">
        <v>13.93</v>
      </c>
      <c r="D246" s="7">
        <v>10.7</v>
      </c>
      <c r="E246" s="8">
        <v>4600</v>
      </c>
      <c r="F246" s="6">
        <v>2200</v>
      </c>
      <c r="G246" s="8">
        <v>7500</v>
      </c>
      <c r="H246" s="9">
        <f t="shared" si="20"/>
        <v>14300</v>
      </c>
      <c r="I246" s="9">
        <v>114564</v>
      </c>
      <c r="J246" s="9">
        <v>128864</v>
      </c>
      <c r="K246" s="10">
        <v>128401</v>
      </c>
    </row>
    <row r="247" spans="1:11" ht="15.75">
      <c r="A247" s="5">
        <v>44413</v>
      </c>
      <c r="B247" s="6" t="s">
        <v>12</v>
      </c>
      <c r="C247" s="7">
        <v>13.92</v>
      </c>
      <c r="D247" s="7">
        <v>10.65</v>
      </c>
      <c r="E247" s="8">
        <v>4600</v>
      </c>
      <c r="F247" s="6">
        <v>2500</v>
      </c>
      <c r="G247" s="8">
        <v>7800</v>
      </c>
      <c r="H247" s="9">
        <f t="shared" si="20"/>
        <v>14900</v>
      </c>
      <c r="I247" s="9">
        <v>114268</v>
      </c>
      <c r="J247" s="9">
        <v>129168</v>
      </c>
      <c r="K247" s="9">
        <v>129014</v>
      </c>
    </row>
    <row r="248" spans="1:11" ht="15.75">
      <c r="A248" s="5">
        <v>44414</v>
      </c>
      <c r="B248" s="6" t="s">
        <v>12</v>
      </c>
      <c r="C248" s="7">
        <v>13.85</v>
      </c>
      <c r="D248" s="7">
        <v>10.45</v>
      </c>
      <c r="E248" s="8">
        <v>4600</v>
      </c>
      <c r="F248" s="6">
        <v>2500</v>
      </c>
      <c r="G248" s="8">
        <v>7500</v>
      </c>
      <c r="H248" s="9">
        <f t="shared" si="20"/>
        <v>14600</v>
      </c>
      <c r="I248" s="9">
        <v>95534</v>
      </c>
      <c r="J248" s="9">
        <v>110134</v>
      </c>
      <c r="K248" s="10">
        <v>109671</v>
      </c>
    </row>
    <row r="249" spans="1:11" ht="15.75">
      <c r="A249" s="5">
        <v>44415</v>
      </c>
      <c r="B249" s="6" t="s">
        <v>12</v>
      </c>
      <c r="C249" s="7">
        <v>13.87</v>
      </c>
      <c r="D249" s="7">
        <v>10.5</v>
      </c>
      <c r="E249" s="8">
        <v>4600</v>
      </c>
      <c r="F249" s="6">
        <v>2500</v>
      </c>
      <c r="G249" s="8">
        <v>7500</v>
      </c>
      <c r="H249" s="9">
        <f t="shared" si="20"/>
        <v>14600</v>
      </c>
      <c r="I249" s="9">
        <v>104942</v>
      </c>
      <c r="J249" s="9">
        <v>119542</v>
      </c>
      <c r="K249" s="10">
        <v>119696</v>
      </c>
    </row>
    <row r="250" spans="1:11" ht="15.75">
      <c r="A250" s="5">
        <v>44416</v>
      </c>
      <c r="B250" s="6" t="s">
        <v>12</v>
      </c>
      <c r="C250" s="7">
        <v>13.9</v>
      </c>
      <c r="D250" s="7">
        <v>10.6</v>
      </c>
      <c r="E250" s="8">
        <v>4800</v>
      </c>
      <c r="F250" s="6">
        <v>2500</v>
      </c>
      <c r="G250" s="8">
        <v>7500</v>
      </c>
      <c r="H250" s="9">
        <f t="shared" si="20"/>
        <v>14800</v>
      </c>
      <c r="I250" s="9">
        <v>96107</v>
      </c>
      <c r="J250" s="9">
        <v>110907</v>
      </c>
      <c r="K250" s="10">
        <v>111139</v>
      </c>
    </row>
    <row r="251" spans="1:11" ht="15.75">
      <c r="A251" s="5">
        <v>44417</v>
      </c>
      <c r="B251" s="6" t="s">
        <v>12</v>
      </c>
      <c r="C251" s="7">
        <v>13.95</v>
      </c>
      <c r="D251" s="7">
        <v>10.75</v>
      </c>
      <c r="E251" s="8">
        <v>4800</v>
      </c>
      <c r="F251" s="6">
        <v>2500</v>
      </c>
      <c r="G251" s="8">
        <v>7500</v>
      </c>
      <c r="H251" s="9">
        <f t="shared" si="20"/>
        <v>14800</v>
      </c>
      <c r="I251" s="9">
        <v>96968</v>
      </c>
      <c r="J251" s="9">
        <v>111768</v>
      </c>
      <c r="K251" s="10">
        <v>112077</v>
      </c>
    </row>
    <row r="252" spans="1:11" ht="15.75">
      <c r="A252" s="5">
        <v>44418</v>
      </c>
      <c r="B252" s="6" t="s">
        <v>12</v>
      </c>
      <c r="C252" s="7">
        <v>13.95</v>
      </c>
      <c r="D252" s="7">
        <v>10.75</v>
      </c>
      <c r="E252" s="8">
        <v>4800</v>
      </c>
      <c r="F252" s="6">
        <v>2600</v>
      </c>
      <c r="G252" s="8">
        <v>7500</v>
      </c>
      <c r="H252" s="9">
        <f t="shared" si="20"/>
        <v>14900</v>
      </c>
      <c r="I252" s="9">
        <v>96865</v>
      </c>
      <c r="J252" s="9">
        <v>111765</v>
      </c>
      <c r="K252" s="10">
        <v>111765</v>
      </c>
    </row>
    <row r="253" spans="1:11" ht="15.75">
      <c r="A253" s="5">
        <v>44419</v>
      </c>
      <c r="B253" s="6" t="s">
        <v>12</v>
      </c>
      <c r="C253" s="7">
        <v>13.81</v>
      </c>
      <c r="D253" s="7">
        <v>10.3</v>
      </c>
      <c r="E253" s="8">
        <v>4000</v>
      </c>
      <c r="F253" s="6">
        <v>2500</v>
      </c>
      <c r="G253" s="8">
        <v>7500</v>
      </c>
      <c r="H253" s="9">
        <f t="shared" si="20"/>
        <v>14000</v>
      </c>
      <c r="I253" s="9">
        <v>94770</v>
      </c>
      <c r="J253" s="9">
        <v>108770</v>
      </c>
      <c r="K253" s="10">
        <v>107766</v>
      </c>
    </row>
    <row r="254" spans="1:11" ht="15.75">
      <c r="A254" s="5">
        <v>44420</v>
      </c>
      <c r="B254" s="6" t="s">
        <v>12</v>
      </c>
      <c r="C254" s="7">
        <v>13.99</v>
      </c>
      <c r="D254" s="7">
        <v>10.9</v>
      </c>
      <c r="E254" s="8">
        <v>4000</v>
      </c>
      <c r="F254" s="6">
        <v>2400</v>
      </c>
      <c r="G254" s="8">
        <v>7500</v>
      </c>
      <c r="H254" s="9">
        <f t="shared" si="20"/>
        <v>13900</v>
      </c>
      <c r="I254" s="9">
        <v>68788</v>
      </c>
      <c r="J254" s="9">
        <v>82688</v>
      </c>
      <c r="K254" s="10">
        <v>84077</v>
      </c>
    </row>
    <row r="255" spans="1:11" ht="15.75">
      <c r="A255" s="5">
        <v>44421</v>
      </c>
      <c r="B255" s="6" t="s">
        <v>12</v>
      </c>
      <c r="C255" s="7">
        <v>13.92</v>
      </c>
      <c r="D255" s="7">
        <v>10.65</v>
      </c>
      <c r="E255" s="8">
        <v>4000</v>
      </c>
      <c r="F255" s="6">
        <v>2400</v>
      </c>
      <c r="G255" s="8">
        <v>7500</v>
      </c>
      <c r="H255" s="9">
        <f t="shared" si="20"/>
        <v>13900</v>
      </c>
      <c r="I255" s="9">
        <v>67886</v>
      </c>
      <c r="J255" s="9">
        <v>81786</v>
      </c>
      <c r="K255" s="10">
        <v>81169</v>
      </c>
    </row>
    <row r="256" spans="1:11" ht="15.75">
      <c r="A256" s="5">
        <v>44422</v>
      </c>
      <c r="B256" s="6" t="s">
        <v>12</v>
      </c>
      <c r="C256" s="7">
        <v>13.96</v>
      </c>
      <c r="D256" s="7">
        <v>10.8</v>
      </c>
      <c r="E256" s="8">
        <v>4000</v>
      </c>
      <c r="F256" s="6">
        <v>1800</v>
      </c>
      <c r="G256" s="6">
        <v>7500</v>
      </c>
      <c r="H256" s="9">
        <f t="shared" si="20"/>
        <v>13300</v>
      </c>
      <c r="I256" s="9">
        <v>55281</v>
      </c>
      <c r="J256" s="9">
        <v>68581</v>
      </c>
      <c r="K256" s="10">
        <v>68966</v>
      </c>
    </row>
    <row r="257" spans="1:11" ht="15.75">
      <c r="A257" s="5">
        <v>44423</v>
      </c>
      <c r="B257" s="6" t="s">
        <v>12</v>
      </c>
      <c r="C257" s="7">
        <v>13.84</v>
      </c>
      <c r="D257" s="7">
        <v>10.4</v>
      </c>
      <c r="E257" s="8">
        <v>3000</v>
      </c>
      <c r="F257" s="6">
        <v>2100</v>
      </c>
      <c r="G257" s="6">
        <v>7000</v>
      </c>
      <c r="H257" s="9">
        <f t="shared" si="20"/>
        <v>12100</v>
      </c>
      <c r="I257" s="9">
        <v>63305</v>
      </c>
      <c r="J257" s="9">
        <v>75405</v>
      </c>
      <c r="K257" s="10">
        <v>74479</v>
      </c>
    </row>
    <row r="258" spans="1:11" ht="15.75">
      <c r="A258" s="5">
        <v>44424</v>
      </c>
      <c r="B258" s="6" t="s">
        <v>12</v>
      </c>
      <c r="C258" s="7">
        <v>13.99</v>
      </c>
      <c r="D258" s="7">
        <v>10.9</v>
      </c>
      <c r="E258" s="8">
        <v>3000</v>
      </c>
      <c r="F258" s="6">
        <v>1950</v>
      </c>
      <c r="G258" s="6">
        <v>6000</v>
      </c>
      <c r="H258" s="9">
        <f t="shared" si="20"/>
        <v>10950</v>
      </c>
      <c r="I258" s="9">
        <v>77508</v>
      </c>
      <c r="J258" s="9">
        <v>88458</v>
      </c>
      <c r="K258" s="10">
        <v>89616</v>
      </c>
    </row>
    <row r="259" spans="1:11" ht="15.75">
      <c r="A259" s="5">
        <v>44425</v>
      </c>
      <c r="B259" s="6" t="s">
        <v>12</v>
      </c>
      <c r="C259" s="7">
        <v>13.89</v>
      </c>
      <c r="D259" s="7">
        <v>10.55</v>
      </c>
      <c r="E259" s="8">
        <v>3000</v>
      </c>
      <c r="F259" s="6">
        <v>1950</v>
      </c>
      <c r="G259" s="6">
        <v>5000</v>
      </c>
      <c r="H259" s="9">
        <f t="shared" si="20"/>
        <v>9950</v>
      </c>
      <c r="I259" s="9">
        <v>106213</v>
      </c>
      <c r="J259" s="9">
        <v>116163</v>
      </c>
      <c r="K259" s="10">
        <v>115391</v>
      </c>
    </row>
    <row r="260" spans="1:11" ht="15.75">
      <c r="A260" s="5">
        <v>44426</v>
      </c>
      <c r="B260" s="6" t="s">
        <v>12</v>
      </c>
      <c r="C260" s="7">
        <v>13.81</v>
      </c>
      <c r="D260" s="7">
        <v>10.3</v>
      </c>
      <c r="E260" s="8">
        <v>2000</v>
      </c>
      <c r="F260" s="6">
        <v>1750</v>
      </c>
      <c r="G260" s="6">
        <v>4000</v>
      </c>
      <c r="H260" s="9">
        <f t="shared" si="20"/>
        <v>7750</v>
      </c>
      <c r="I260" s="9">
        <v>84735</v>
      </c>
      <c r="J260" s="9">
        <v>92485</v>
      </c>
      <c r="K260" s="10">
        <v>91868</v>
      </c>
    </row>
    <row r="261" spans="1:11" ht="15.75">
      <c r="A261" s="5">
        <v>44427</v>
      </c>
      <c r="B261" s="6" t="s">
        <v>12</v>
      </c>
      <c r="C261" s="7">
        <v>13.95</v>
      </c>
      <c r="D261" s="7">
        <v>10.75</v>
      </c>
      <c r="E261" s="8">
        <v>1000</v>
      </c>
      <c r="F261" s="6">
        <v>1750</v>
      </c>
      <c r="G261" s="6">
        <v>5000</v>
      </c>
      <c r="H261" s="9">
        <f t="shared" si="20"/>
        <v>7750</v>
      </c>
      <c r="I261" s="9">
        <v>96761</v>
      </c>
      <c r="J261" s="9">
        <v>104511</v>
      </c>
      <c r="K261" s="10">
        <v>105515</v>
      </c>
    </row>
    <row r="262" spans="1:11" ht="15.75">
      <c r="A262" s="5">
        <v>44428</v>
      </c>
      <c r="B262" s="6" t="s">
        <v>12</v>
      </c>
      <c r="C262" s="7">
        <v>13.99</v>
      </c>
      <c r="D262" s="7">
        <v>10.9</v>
      </c>
      <c r="E262" s="8">
        <v>2000</v>
      </c>
      <c r="F262" s="6">
        <v>1750</v>
      </c>
      <c r="G262" s="6">
        <v>5000</v>
      </c>
      <c r="H262" s="9">
        <f t="shared" si="20"/>
        <v>8750</v>
      </c>
      <c r="I262" s="9">
        <v>129673</v>
      </c>
      <c r="J262" s="9">
        <v>138423</v>
      </c>
      <c r="K262" s="10">
        <v>138808</v>
      </c>
    </row>
    <row r="263" spans="1:11" ht="15.75">
      <c r="A263" s="5">
        <v>44429</v>
      </c>
      <c r="B263" s="6" t="s">
        <v>12</v>
      </c>
      <c r="C263" s="7">
        <v>13.58</v>
      </c>
      <c r="D263" s="7">
        <v>9.5500000000000007</v>
      </c>
      <c r="E263" s="8">
        <v>2000</v>
      </c>
      <c r="F263" s="6">
        <v>1450</v>
      </c>
      <c r="G263" s="6">
        <v>4000</v>
      </c>
      <c r="H263" s="9">
        <f t="shared" si="20"/>
        <v>7450</v>
      </c>
      <c r="I263" s="9">
        <v>190448</v>
      </c>
      <c r="J263" s="9">
        <v>197898</v>
      </c>
      <c r="K263" s="10">
        <v>194735</v>
      </c>
    </row>
    <row r="264" spans="1:11" ht="15.75">
      <c r="A264" s="5">
        <v>44430</v>
      </c>
      <c r="B264" s="6" t="s">
        <v>12</v>
      </c>
      <c r="C264" s="7">
        <v>13.81</v>
      </c>
      <c r="D264" s="7">
        <v>10.3</v>
      </c>
      <c r="E264" s="8">
        <v>2000</v>
      </c>
      <c r="F264" s="6">
        <v>950</v>
      </c>
      <c r="G264" s="6">
        <v>4000</v>
      </c>
      <c r="H264" s="9">
        <f t="shared" si="20"/>
        <v>6950</v>
      </c>
      <c r="I264" s="9">
        <v>220818</v>
      </c>
      <c r="J264" s="9">
        <v>227768</v>
      </c>
      <c r="K264" s="10">
        <v>229542</v>
      </c>
    </row>
    <row r="265" spans="1:11" ht="15.75">
      <c r="A265" s="5">
        <v>44431</v>
      </c>
      <c r="B265" s="6" t="s">
        <v>12</v>
      </c>
      <c r="C265" s="7">
        <v>13.9</v>
      </c>
      <c r="D265" s="7">
        <v>10.6</v>
      </c>
      <c r="E265" s="8">
        <v>2800</v>
      </c>
      <c r="F265" s="6">
        <v>1500</v>
      </c>
      <c r="G265" s="6">
        <v>4000</v>
      </c>
      <c r="H265" s="9">
        <f t="shared" si="20"/>
        <v>8300</v>
      </c>
      <c r="I265" s="9">
        <v>325872</v>
      </c>
      <c r="J265" s="9">
        <v>334172</v>
      </c>
      <c r="K265" s="10">
        <v>334867</v>
      </c>
    </row>
    <row r="266" spans="1:11" ht="15.75">
      <c r="A266" s="5">
        <v>44432</v>
      </c>
      <c r="B266" s="6" t="s">
        <v>12</v>
      </c>
      <c r="C266" s="7">
        <v>13.23</v>
      </c>
      <c r="D266" s="7">
        <v>8.4</v>
      </c>
      <c r="E266" s="8">
        <v>3500</v>
      </c>
      <c r="F266" s="6">
        <v>1500</v>
      </c>
      <c r="G266" s="6">
        <v>4000</v>
      </c>
      <c r="H266" s="9">
        <f t="shared" si="20"/>
        <v>9000</v>
      </c>
      <c r="I266" s="9">
        <v>279563</v>
      </c>
      <c r="J266" s="9">
        <v>288563</v>
      </c>
      <c r="K266" s="10">
        <v>283407</v>
      </c>
    </row>
    <row r="267" spans="1:11" ht="15.75">
      <c r="A267" s="5">
        <v>44433</v>
      </c>
      <c r="B267" s="6" t="s">
        <v>12</v>
      </c>
      <c r="C267" s="7">
        <v>13.53</v>
      </c>
      <c r="D267" s="7">
        <v>9.4</v>
      </c>
      <c r="E267" s="8">
        <v>3500</v>
      </c>
      <c r="F267" s="6">
        <v>2100</v>
      </c>
      <c r="G267" s="6">
        <v>6500</v>
      </c>
      <c r="H267" s="9">
        <f t="shared" si="20"/>
        <v>12100</v>
      </c>
      <c r="I267" s="9">
        <v>213901</v>
      </c>
      <c r="J267" s="9">
        <v>226001</v>
      </c>
      <c r="K267" s="10">
        <v>228302</v>
      </c>
    </row>
    <row r="268" spans="1:11" ht="15.75">
      <c r="A268" s="5">
        <v>44434</v>
      </c>
      <c r="B268" s="6" t="s">
        <v>12</v>
      </c>
      <c r="C268" s="7">
        <v>13.72</v>
      </c>
      <c r="D268" s="7">
        <v>10</v>
      </c>
      <c r="E268" s="8">
        <v>4000</v>
      </c>
      <c r="F268" s="6">
        <v>2100</v>
      </c>
      <c r="G268" s="6">
        <v>7000</v>
      </c>
      <c r="H268" s="9">
        <f t="shared" si="20"/>
        <v>13100</v>
      </c>
      <c r="I268" s="9">
        <v>135093</v>
      </c>
      <c r="J268" s="9">
        <v>148193</v>
      </c>
      <c r="K268" s="10">
        <v>149658</v>
      </c>
    </row>
    <row r="269" spans="1:11" ht="15.75">
      <c r="A269" s="5">
        <v>44435</v>
      </c>
      <c r="B269" s="6" t="s">
        <v>12</v>
      </c>
      <c r="C269" s="7">
        <v>13.92</v>
      </c>
      <c r="D269" s="7">
        <v>10.65</v>
      </c>
      <c r="E269" s="8">
        <v>4000</v>
      </c>
      <c r="F269" s="6">
        <v>2400</v>
      </c>
      <c r="G269" s="6">
        <v>7500</v>
      </c>
      <c r="H269" s="9">
        <f t="shared" si="20"/>
        <v>13900</v>
      </c>
      <c r="I269" s="9">
        <v>87206</v>
      </c>
      <c r="J269" s="9">
        <v>101106</v>
      </c>
      <c r="K269" s="9">
        <v>102573</v>
      </c>
    </row>
    <row r="270" spans="1:11" ht="15.75">
      <c r="A270" s="5">
        <v>44436</v>
      </c>
      <c r="B270" s="6" t="s">
        <v>12</v>
      </c>
      <c r="C270" s="7">
        <v>13.92</v>
      </c>
      <c r="D270" s="7">
        <v>10.65</v>
      </c>
      <c r="E270" s="8">
        <v>4000</v>
      </c>
      <c r="F270" s="6">
        <v>2400</v>
      </c>
      <c r="G270" s="6">
        <v>7300</v>
      </c>
      <c r="H270" s="9">
        <f t="shared" si="20"/>
        <v>13700</v>
      </c>
      <c r="I270" s="9">
        <v>84243</v>
      </c>
      <c r="J270" s="9">
        <v>97943</v>
      </c>
      <c r="K270" s="9">
        <v>97943</v>
      </c>
    </row>
    <row r="271" spans="1:11" ht="15.75">
      <c r="A271" s="5">
        <v>44437</v>
      </c>
      <c r="B271" s="6" t="s">
        <v>12</v>
      </c>
      <c r="C271" s="7">
        <v>13.99</v>
      </c>
      <c r="D271" s="7">
        <v>10.9</v>
      </c>
      <c r="E271" s="8">
        <v>4000</v>
      </c>
      <c r="F271" s="6">
        <v>2400</v>
      </c>
      <c r="G271" s="6">
        <v>7300</v>
      </c>
      <c r="H271" s="9">
        <f t="shared" si="20"/>
        <v>13700</v>
      </c>
      <c r="I271" s="9">
        <v>90885</v>
      </c>
      <c r="J271" s="9">
        <v>104585</v>
      </c>
      <c r="K271" s="9">
        <v>105202</v>
      </c>
    </row>
    <row r="272" spans="1:11" ht="15.75">
      <c r="A272" s="5">
        <v>44438</v>
      </c>
      <c r="B272" s="6" t="s">
        <v>12</v>
      </c>
      <c r="C272" s="7">
        <v>13.92</v>
      </c>
      <c r="D272" s="7">
        <v>10.65</v>
      </c>
      <c r="E272" s="8">
        <v>4000</v>
      </c>
      <c r="F272" s="6">
        <v>2400</v>
      </c>
      <c r="G272" s="6">
        <v>7300</v>
      </c>
      <c r="H272" s="9">
        <f t="shared" si="20"/>
        <v>13700</v>
      </c>
      <c r="I272" s="9">
        <v>89482</v>
      </c>
      <c r="J272" s="9">
        <v>103182</v>
      </c>
      <c r="K272" s="9">
        <v>102565</v>
      </c>
    </row>
    <row r="273" spans="1:11" ht="15.75">
      <c r="A273" s="5">
        <v>44439</v>
      </c>
      <c r="B273" s="6" t="s">
        <v>12</v>
      </c>
      <c r="C273" s="7">
        <v>13.87</v>
      </c>
      <c r="D273" s="7">
        <v>10.5</v>
      </c>
      <c r="E273" s="8">
        <v>4000</v>
      </c>
      <c r="F273" s="6">
        <v>2400</v>
      </c>
      <c r="G273" s="6">
        <v>7300</v>
      </c>
      <c r="H273" s="9">
        <f t="shared" si="20"/>
        <v>13700</v>
      </c>
      <c r="I273" s="9">
        <v>95680</v>
      </c>
      <c r="J273" s="9">
        <v>109380</v>
      </c>
      <c r="K273" s="9">
        <v>109071</v>
      </c>
    </row>
    <row r="274" spans="1:11" ht="15.75">
      <c r="A274" s="2" t="s">
        <v>13</v>
      </c>
      <c r="B274" s="2"/>
      <c r="C274" s="2"/>
      <c r="D274" s="2"/>
      <c r="E274" s="11">
        <f t="shared" ref="E274:K274" si="21">SUM(E243:E273)</f>
        <v>113200</v>
      </c>
      <c r="F274" s="11">
        <f t="shared" si="21"/>
        <v>65050</v>
      </c>
      <c r="G274" s="11">
        <f t="shared" si="21"/>
        <v>200500</v>
      </c>
      <c r="H274" s="11">
        <f t="shared" si="21"/>
        <v>378750</v>
      </c>
      <c r="I274" s="11">
        <f t="shared" si="21"/>
        <v>3656491</v>
      </c>
      <c r="J274" s="11">
        <f t="shared" si="21"/>
        <v>4035241</v>
      </c>
      <c r="K274" s="11">
        <f t="shared" si="21"/>
        <v>4034315</v>
      </c>
    </row>
    <row r="275" spans="1:11" ht="15.75">
      <c r="A275" s="12"/>
      <c r="B275" s="2"/>
      <c r="C275" s="2"/>
      <c r="D275" s="2"/>
      <c r="E275" s="13">
        <f t="shared" ref="E275:K275" si="22">SUM(E274/11575)</f>
        <v>9.7796976241900655</v>
      </c>
      <c r="F275" s="13">
        <f t="shared" si="22"/>
        <v>5.6198704103671711</v>
      </c>
      <c r="G275" s="13">
        <f t="shared" si="22"/>
        <v>17.321814254859611</v>
      </c>
      <c r="H275" s="13">
        <f t="shared" si="22"/>
        <v>32.721382289416844</v>
      </c>
      <c r="I275" s="13">
        <f t="shared" si="22"/>
        <v>315.89555075593955</v>
      </c>
      <c r="J275" s="13">
        <f t="shared" si="22"/>
        <v>348.61693304535635</v>
      </c>
      <c r="K275" s="13">
        <f t="shared" si="22"/>
        <v>348.53693304535636</v>
      </c>
    </row>
    <row r="276" spans="1:11" ht="15.75">
      <c r="A276" s="1" t="s">
        <v>24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47.25">
      <c r="A277" s="2" t="s">
        <v>1</v>
      </c>
      <c r="B277" s="2" t="s">
        <v>2</v>
      </c>
      <c r="C277" s="3" t="s">
        <v>18</v>
      </c>
      <c r="D277" s="3" t="s">
        <v>4</v>
      </c>
      <c r="E277" s="3" t="s">
        <v>5</v>
      </c>
      <c r="F277" s="3" t="s">
        <v>6</v>
      </c>
      <c r="G277" s="3" t="s">
        <v>7</v>
      </c>
      <c r="H277" s="3" t="s">
        <v>8</v>
      </c>
      <c r="I277" s="3" t="s">
        <v>9</v>
      </c>
      <c r="J277" s="3" t="s">
        <v>19</v>
      </c>
      <c r="K277" s="4" t="s">
        <v>11</v>
      </c>
    </row>
    <row r="278" spans="1:11" ht="15.75">
      <c r="A278" s="5">
        <v>44440</v>
      </c>
      <c r="B278" s="6" t="s">
        <v>12</v>
      </c>
      <c r="C278" s="7">
        <v>13.84</v>
      </c>
      <c r="D278" s="7">
        <v>10.4</v>
      </c>
      <c r="E278" s="8">
        <v>4000</v>
      </c>
      <c r="F278" s="8">
        <v>2100</v>
      </c>
      <c r="G278" s="8">
        <v>4500</v>
      </c>
      <c r="H278" s="9">
        <f t="shared" ref="H278:H307" si="23">E278+F278+G278</f>
        <v>10600</v>
      </c>
      <c r="I278" s="9">
        <v>97531</v>
      </c>
      <c r="J278" s="9">
        <v>108131</v>
      </c>
      <c r="K278" s="10">
        <v>107899</v>
      </c>
    </row>
    <row r="279" spans="1:11" ht="15.75">
      <c r="A279" s="5">
        <v>44441</v>
      </c>
      <c r="B279" s="6" t="s">
        <v>12</v>
      </c>
      <c r="C279" s="7">
        <v>13.99</v>
      </c>
      <c r="D279" s="7">
        <v>10.9</v>
      </c>
      <c r="E279" s="8">
        <v>4000</v>
      </c>
      <c r="F279" s="6">
        <v>1500</v>
      </c>
      <c r="G279" s="8">
        <v>4500</v>
      </c>
      <c r="H279" s="9">
        <f t="shared" si="23"/>
        <v>10000</v>
      </c>
      <c r="I279" s="9">
        <v>149880</v>
      </c>
      <c r="J279" s="9">
        <v>159880</v>
      </c>
      <c r="K279" s="10">
        <v>161038</v>
      </c>
    </row>
    <row r="280" spans="1:11" ht="15.75">
      <c r="A280" s="5">
        <v>44442</v>
      </c>
      <c r="B280" s="6" t="s">
        <v>12</v>
      </c>
      <c r="C280" s="7">
        <v>13.96</v>
      </c>
      <c r="D280" s="7">
        <v>10.8</v>
      </c>
      <c r="E280" s="8">
        <v>3500</v>
      </c>
      <c r="F280" s="6">
        <v>1500</v>
      </c>
      <c r="G280" s="8">
        <v>6000</v>
      </c>
      <c r="H280" s="9">
        <f t="shared" si="23"/>
        <v>11000</v>
      </c>
      <c r="I280" s="9">
        <v>257844</v>
      </c>
      <c r="J280" s="9">
        <v>268844</v>
      </c>
      <c r="K280" s="10">
        <v>268612</v>
      </c>
    </row>
    <row r="281" spans="1:11" ht="15.75">
      <c r="A281" s="5">
        <v>44443</v>
      </c>
      <c r="B281" s="6" t="s">
        <v>12</v>
      </c>
      <c r="C281" s="7">
        <v>13.63</v>
      </c>
      <c r="D281" s="7">
        <v>9.6999999999999993</v>
      </c>
      <c r="E281" s="8">
        <v>3500</v>
      </c>
      <c r="F281" s="6">
        <v>1500</v>
      </c>
      <c r="G281" s="8">
        <v>7000</v>
      </c>
      <c r="H281" s="9">
        <f t="shared" si="23"/>
        <v>12000</v>
      </c>
      <c r="I281" s="9">
        <v>261286</v>
      </c>
      <c r="J281" s="9">
        <v>273286</v>
      </c>
      <c r="K281" s="10">
        <v>270739</v>
      </c>
    </row>
    <row r="282" spans="1:11" ht="15.75">
      <c r="A282" s="5">
        <v>44444</v>
      </c>
      <c r="B282" s="6" t="s">
        <v>12</v>
      </c>
      <c r="C282" s="7">
        <v>13.89</v>
      </c>
      <c r="D282" s="7">
        <v>10.55</v>
      </c>
      <c r="E282" s="8">
        <v>4000</v>
      </c>
      <c r="F282" s="6">
        <v>2100</v>
      </c>
      <c r="G282" s="8">
        <v>7000</v>
      </c>
      <c r="H282" s="9">
        <f t="shared" si="23"/>
        <v>13100</v>
      </c>
      <c r="I282" s="9">
        <v>215876</v>
      </c>
      <c r="J282" s="9">
        <v>228976</v>
      </c>
      <c r="K282" s="9">
        <v>230982</v>
      </c>
    </row>
    <row r="283" spans="1:11" ht="15.75">
      <c r="A283" s="5">
        <v>44445</v>
      </c>
      <c r="B283" s="6" t="s">
        <v>12</v>
      </c>
      <c r="C283" s="7">
        <v>13.84</v>
      </c>
      <c r="D283" s="7">
        <v>10.4</v>
      </c>
      <c r="E283" s="8">
        <v>4000</v>
      </c>
      <c r="F283" s="6">
        <v>2100</v>
      </c>
      <c r="G283" s="8">
        <v>6500</v>
      </c>
      <c r="H283" s="9">
        <f t="shared" si="23"/>
        <v>12600</v>
      </c>
      <c r="I283" s="9">
        <v>209104</v>
      </c>
      <c r="J283" s="9">
        <v>221704</v>
      </c>
      <c r="K283" s="10">
        <v>223325</v>
      </c>
    </row>
    <row r="284" spans="1:11" ht="15.75">
      <c r="A284" s="5">
        <v>44446</v>
      </c>
      <c r="B284" s="6" t="s">
        <v>12</v>
      </c>
      <c r="C284" s="7">
        <v>13.08</v>
      </c>
      <c r="D284" s="7">
        <v>7.9</v>
      </c>
      <c r="E284" s="8">
        <v>1000</v>
      </c>
      <c r="F284" s="6">
        <v>1200</v>
      </c>
      <c r="G284" s="8">
        <v>2500</v>
      </c>
      <c r="H284" s="9">
        <f t="shared" si="23"/>
        <v>4700</v>
      </c>
      <c r="I284" s="9">
        <v>328180</v>
      </c>
      <c r="J284" s="9">
        <v>332880</v>
      </c>
      <c r="K284" s="10">
        <v>327049</v>
      </c>
    </row>
    <row r="285" spans="1:11" ht="15.75">
      <c r="A285" s="5">
        <v>44447</v>
      </c>
      <c r="B285" s="6" t="s">
        <v>12</v>
      </c>
      <c r="C285" s="7">
        <v>12.83</v>
      </c>
      <c r="D285" s="7">
        <v>7.1</v>
      </c>
      <c r="E285" s="8">
        <v>2000</v>
      </c>
      <c r="F285" s="6">
        <v>1200</v>
      </c>
      <c r="G285" s="8">
        <v>2500</v>
      </c>
      <c r="H285" s="9">
        <f t="shared" si="23"/>
        <v>5700</v>
      </c>
      <c r="I285" s="9">
        <v>476773</v>
      </c>
      <c r="J285" s="9">
        <v>482473</v>
      </c>
      <c r="K285" s="10">
        <v>480602</v>
      </c>
    </row>
    <row r="286" spans="1:11" ht="15.75">
      <c r="A286" s="5">
        <v>44448</v>
      </c>
      <c r="B286" s="6" t="s">
        <v>12</v>
      </c>
      <c r="C286" s="7">
        <v>13.32</v>
      </c>
      <c r="D286" s="7">
        <v>8.6999999999999993</v>
      </c>
      <c r="E286" s="8">
        <v>2000</v>
      </c>
      <c r="F286" s="6">
        <v>1700</v>
      </c>
      <c r="G286" s="8">
        <v>2500</v>
      </c>
      <c r="H286" s="9">
        <f t="shared" si="23"/>
        <v>6200</v>
      </c>
      <c r="I286" s="9">
        <v>619825</v>
      </c>
      <c r="J286" s="9">
        <v>626025</v>
      </c>
      <c r="K286" s="10">
        <v>629717</v>
      </c>
    </row>
    <row r="287" spans="1:11" ht="15.75">
      <c r="A287" s="5">
        <v>44449</v>
      </c>
      <c r="B287" s="6" t="s">
        <v>12</v>
      </c>
      <c r="C287" s="7">
        <v>14.2</v>
      </c>
      <c r="D287" s="7">
        <v>11.6</v>
      </c>
      <c r="E287" s="8">
        <v>2000</v>
      </c>
      <c r="F287" s="6">
        <v>1700</v>
      </c>
      <c r="G287" s="8">
        <v>6500</v>
      </c>
      <c r="H287" s="9">
        <f t="shared" si="23"/>
        <v>10200</v>
      </c>
      <c r="I287" s="9">
        <v>959981</v>
      </c>
      <c r="J287" s="9">
        <v>970181</v>
      </c>
      <c r="K287" s="10">
        <v>975580</v>
      </c>
    </row>
    <row r="288" spans="1:11" ht="15.75">
      <c r="A288" s="5">
        <v>44450</v>
      </c>
      <c r="B288" s="6" t="s">
        <v>12</v>
      </c>
      <c r="C288" s="7">
        <v>14.2</v>
      </c>
      <c r="D288" s="7">
        <v>11.6</v>
      </c>
      <c r="E288" s="8">
        <v>2000</v>
      </c>
      <c r="F288" s="6">
        <v>1700</v>
      </c>
      <c r="G288" s="8">
        <v>5500</v>
      </c>
      <c r="H288" s="9">
        <f t="shared" si="23"/>
        <v>9200</v>
      </c>
      <c r="I288" s="9">
        <v>975236</v>
      </c>
      <c r="J288" s="9">
        <v>984436</v>
      </c>
      <c r="K288" s="10">
        <v>984436</v>
      </c>
    </row>
    <row r="289" spans="1:11" ht="15.75">
      <c r="A289" s="5">
        <v>44451</v>
      </c>
      <c r="B289" s="6" t="s">
        <v>12</v>
      </c>
      <c r="C289" s="7">
        <v>13.75</v>
      </c>
      <c r="D289" s="7">
        <v>10.1</v>
      </c>
      <c r="E289" s="8">
        <v>2000</v>
      </c>
      <c r="F289" s="6">
        <v>1700</v>
      </c>
      <c r="G289" s="8">
        <v>5500</v>
      </c>
      <c r="H289" s="9">
        <f t="shared" si="23"/>
        <v>9200</v>
      </c>
      <c r="I289" s="9">
        <v>785332</v>
      </c>
      <c r="J289" s="9">
        <v>794532</v>
      </c>
      <c r="K289" s="10">
        <v>792448</v>
      </c>
    </row>
    <row r="290" spans="1:11" ht="15.75">
      <c r="A290" s="5">
        <v>44452</v>
      </c>
      <c r="B290" s="6" t="s">
        <v>12</v>
      </c>
      <c r="C290" s="7">
        <v>13.5</v>
      </c>
      <c r="D290" s="7">
        <v>8.6999999999999993</v>
      </c>
      <c r="E290" s="8">
        <v>3500</v>
      </c>
      <c r="F290" s="6">
        <v>1700</v>
      </c>
      <c r="G290" s="8">
        <v>6000</v>
      </c>
      <c r="H290" s="9">
        <f t="shared" si="23"/>
        <v>11200</v>
      </c>
      <c r="I290" s="9">
        <v>619825</v>
      </c>
      <c r="J290" s="9">
        <v>631025</v>
      </c>
      <c r="K290" s="10">
        <v>627710</v>
      </c>
    </row>
    <row r="291" spans="1:11" ht="15.75">
      <c r="A291" s="5">
        <v>44453</v>
      </c>
      <c r="B291" s="6" t="s">
        <v>12</v>
      </c>
      <c r="C291" s="7">
        <v>13.08</v>
      </c>
      <c r="D291" s="7">
        <v>7.9</v>
      </c>
      <c r="E291" s="8">
        <v>3500</v>
      </c>
      <c r="F291" s="6">
        <v>1900</v>
      </c>
      <c r="G291" s="6">
        <v>7000</v>
      </c>
      <c r="H291" s="9">
        <f t="shared" si="23"/>
        <v>12400</v>
      </c>
      <c r="I291" s="9">
        <v>534748</v>
      </c>
      <c r="J291" s="9">
        <v>547148</v>
      </c>
      <c r="K291" s="10">
        <v>545326</v>
      </c>
    </row>
    <row r="292" spans="1:11" ht="15.75">
      <c r="A292" s="5">
        <v>44454</v>
      </c>
      <c r="B292" s="6" t="s">
        <v>12</v>
      </c>
      <c r="C292" s="7">
        <v>12.68</v>
      </c>
      <c r="D292" s="7">
        <v>6.6</v>
      </c>
      <c r="E292" s="8">
        <v>3500</v>
      </c>
      <c r="F292" s="6">
        <v>1900</v>
      </c>
      <c r="G292" s="6">
        <v>7000</v>
      </c>
      <c r="H292" s="9">
        <f t="shared" si="23"/>
        <v>12400</v>
      </c>
      <c r="I292" s="9">
        <v>440331</v>
      </c>
      <c r="J292" s="9">
        <v>452731</v>
      </c>
      <c r="K292" s="10">
        <v>449749</v>
      </c>
    </row>
    <row r="293" spans="1:11" ht="15.75">
      <c r="A293" s="5">
        <v>44455</v>
      </c>
      <c r="B293" s="6" t="s">
        <v>12</v>
      </c>
      <c r="C293" s="7">
        <v>13.41</v>
      </c>
      <c r="D293" s="7">
        <v>9</v>
      </c>
      <c r="E293" s="8">
        <v>3500</v>
      </c>
      <c r="F293" s="6">
        <v>1900</v>
      </c>
      <c r="G293" s="6">
        <v>7000</v>
      </c>
      <c r="H293" s="9">
        <f t="shared" si="23"/>
        <v>12400</v>
      </c>
      <c r="I293" s="9">
        <v>423724</v>
      </c>
      <c r="J293" s="9">
        <v>436124</v>
      </c>
      <c r="K293" s="10">
        <v>441620</v>
      </c>
    </row>
    <row r="294" spans="1:11" ht="15.75">
      <c r="A294" s="5">
        <v>44456</v>
      </c>
      <c r="B294" s="6" t="s">
        <v>12</v>
      </c>
      <c r="C294" s="7">
        <v>13.47</v>
      </c>
      <c r="D294" s="7">
        <v>9.1999999999999993</v>
      </c>
      <c r="E294" s="8">
        <v>4200</v>
      </c>
      <c r="F294" s="6">
        <v>1900</v>
      </c>
      <c r="G294" s="6">
        <v>7000</v>
      </c>
      <c r="H294" s="9">
        <f t="shared" si="23"/>
        <v>13100</v>
      </c>
      <c r="I294" s="9">
        <v>390605</v>
      </c>
      <c r="J294" s="9">
        <v>403705</v>
      </c>
      <c r="K294" s="10">
        <v>404168</v>
      </c>
    </row>
    <row r="295" spans="1:11" ht="15.75">
      <c r="A295" s="5">
        <v>44457</v>
      </c>
      <c r="B295" s="6" t="s">
        <v>12</v>
      </c>
      <c r="C295" s="7">
        <v>13.41</v>
      </c>
      <c r="D295" s="7">
        <v>9</v>
      </c>
      <c r="E295" s="8">
        <v>4200</v>
      </c>
      <c r="F295" s="6">
        <v>2100</v>
      </c>
      <c r="G295" s="6">
        <v>7000</v>
      </c>
      <c r="H295" s="9">
        <f t="shared" si="23"/>
        <v>13300</v>
      </c>
      <c r="I295" s="9">
        <v>350939</v>
      </c>
      <c r="J295" s="9">
        <v>364239</v>
      </c>
      <c r="K295" s="10">
        <v>363776</v>
      </c>
    </row>
    <row r="296" spans="1:11" ht="15.75">
      <c r="A296" s="5">
        <v>44458</v>
      </c>
      <c r="B296" s="6" t="s">
        <v>12</v>
      </c>
      <c r="C296" s="7">
        <v>13.73</v>
      </c>
      <c r="D296" s="7">
        <v>10.050000000000001</v>
      </c>
      <c r="E296" s="8">
        <v>3500</v>
      </c>
      <c r="F296" s="6">
        <v>2100</v>
      </c>
      <c r="G296" s="6">
        <v>7300</v>
      </c>
      <c r="H296" s="9">
        <f t="shared" si="23"/>
        <v>12900</v>
      </c>
      <c r="I296" s="9">
        <v>381581</v>
      </c>
      <c r="J296" s="9">
        <v>394481</v>
      </c>
      <c r="K296" s="10">
        <v>396955</v>
      </c>
    </row>
    <row r="297" spans="1:11" ht="15.75">
      <c r="A297" s="5">
        <v>44459</v>
      </c>
      <c r="B297" s="6" t="s">
        <v>12</v>
      </c>
      <c r="C297" s="7">
        <v>13.78</v>
      </c>
      <c r="D297" s="7">
        <v>10.199999999999999</v>
      </c>
      <c r="E297" s="8">
        <v>3500</v>
      </c>
      <c r="F297" s="6">
        <v>2100</v>
      </c>
      <c r="G297" s="6">
        <v>7300</v>
      </c>
      <c r="H297" s="9">
        <f t="shared" si="23"/>
        <v>12900</v>
      </c>
      <c r="I297" s="9">
        <v>293056</v>
      </c>
      <c r="J297" s="9">
        <v>305952</v>
      </c>
      <c r="K297" s="10">
        <v>306337</v>
      </c>
    </row>
    <row r="298" spans="1:11" ht="15.75">
      <c r="A298" s="5">
        <v>44460</v>
      </c>
      <c r="B298" s="6" t="s">
        <v>12</v>
      </c>
      <c r="C298" s="7">
        <v>13.93</v>
      </c>
      <c r="D298" s="7">
        <v>10.7</v>
      </c>
      <c r="E298" s="8">
        <v>4200</v>
      </c>
      <c r="F298" s="6">
        <v>2100</v>
      </c>
      <c r="G298" s="6">
        <v>7300</v>
      </c>
      <c r="H298" s="9">
        <f t="shared" si="23"/>
        <v>13600</v>
      </c>
      <c r="I298" s="9">
        <v>231718</v>
      </c>
      <c r="J298" s="9">
        <v>245318</v>
      </c>
      <c r="K298" s="10">
        <v>246476</v>
      </c>
    </row>
    <row r="299" spans="1:11" ht="15.75">
      <c r="A299" s="5">
        <v>44461</v>
      </c>
      <c r="B299" s="6" t="s">
        <v>12</v>
      </c>
      <c r="C299" s="7">
        <v>13.78</v>
      </c>
      <c r="D299" s="7">
        <v>10.199999999999999</v>
      </c>
      <c r="E299" s="8">
        <v>4200</v>
      </c>
      <c r="F299" s="6">
        <v>2100</v>
      </c>
      <c r="G299" s="6">
        <v>7300</v>
      </c>
      <c r="H299" s="9">
        <f t="shared" si="23"/>
        <v>13600</v>
      </c>
      <c r="I299" s="9">
        <v>206038</v>
      </c>
      <c r="J299" s="9">
        <v>219638</v>
      </c>
      <c r="K299" s="10">
        <v>218480</v>
      </c>
    </row>
    <row r="300" spans="1:11" ht="15.75">
      <c r="A300" s="5">
        <v>44462</v>
      </c>
      <c r="B300" s="6" t="s">
        <v>12</v>
      </c>
      <c r="C300" s="7">
        <v>13.93</v>
      </c>
      <c r="D300" s="7">
        <v>10.7</v>
      </c>
      <c r="E300" s="8">
        <v>4200</v>
      </c>
      <c r="F300" s="6">
        <v>2100</v>
      </c>
      <c r="G300" s="6">
        <v>5000</v>
      </c>
      <c r="H300" s="9">
        <f t="shared" si="23"/>
        <v>11300</v>
      </c>
      <c r="I300" s="9">
        <v>201977</v>
      </c>
      <c r="J300" s="9">
        <v>213277</v>
      </c>
      <c r="K300" s="10">
        <v>214435</v>
      </c>
    </row>
    <row r="301" spans="1:11" ht="15.75">
      <c r="A301" s="5">
        <v>44463</v>
      </c>
      <c r="B301" s="6" t="s">
        <v>12</v>
      </c>
      <c r="C301" s="7">
        <v>13.75</v>
      </c>
      <c r="D301" s="7">
        <v>10.1</v>
      </c>
      <c r="E301" s="8">
        <v>4200</v>
      </c>
      <c r="F301" s="6">
        <v>2100</v>
      </c>
      <c r="G301" s="6">
        <v>7000</v>
      </c>
      <c r="H301" s="9">
        <f t="shared" si="23"/>
        <v>13300</v>
      </c>
      <c r="I301" s="9">
        <v>229165</v>
      </c>
      <c r="J301" s="9">
        <v>242465</v>
      </c>
      <c r="K301" s="10">
        <v>241076</v>
      </c>
    </row>
    <row r="302" spans="1:11" ht="15.75">
      <c r="A302" s="5">
        <v>44464</v>
      </c>
      <c r="B302" s="6" t="s">
        <v>12</v>
      </c>
      <c r="C302" s="7">
        <v>13.78</v>
      </c>
      <c r="D302" s="7">
        <v>10.199999999999999</v>
      </c>
      <c r="E302" s="8">
        <v>4200</v>
      </c>
      <c r="F302" s="6">
        <v>2100</v>
      </c>
      <c r="G302" s="6">
        <v>7000</v>
      </c>
      <c r="H302" s="9">
        <f t="shared" si="23"/>
        <v>13300</v>
      </c>
      <c r="I302" s="9">
        <v>348825</v>
      </c>
      <c r="J302" s="9">
        <v>362125</v>
      </c>
      <c r="K302" s="10">
        <v>362357</v>
      </c>
    </row>
    <row r="303" spans="1:11" ht="15.75">
      <c r="A303" s="5">
        <v>44465</v>
      </c>
      <c r="B303" s="6" t="s">
        <v>12</v>
      </c>
      <c r="C303" s="7">
        <v>13.31</v>
      </c>
      <c r="D303" s="7">
        <v>8.65</v>
      </c>
      <c r="E303" s="8">
        <v>4200</v>
      </c>
      <c r="F303" s="6">
        <v>2300</v>
      </c>
      <c r="G303" s="6">
        <v>7000</v>
      </c>
      <c r="H303" s="9">
        <f t="shared" si="23"/>
        <v>13500</v>
      </c>
      <c r="I303" s="9">
        <v>392411</v>
      </c>
      <c r="J303" s="9">
        <v>405911</v>
      </c>
      <c r="K303" s="10">
        <v>402288</v>
      </c>
    </row>
    <row r="304" spans="1:11" ht="15.75">
      <c r="A304" s="5">
        <v>44466</v>
      </c>
      <c r="B304" s="6" t="s">
        <v>12</v>
      </c>
      <c r="C304" s="7">
        <v>13.23</v>
      </c>
      <c r="D304" s="7">
        <v>8.4</v>
      </c>
      <c r="E304" s="8">
        <v>2500</v>
      </c>
      <c r="F304" s="6">
        <v>1000</v>
      </c>
      <c r="G304" s="6">
        <v>4000</v>
      </c>
      <c r="H304" s="9">
        <f t="shared" si="23"/>
        <v>7500</v>
      </c>
      <c r="I304" s="9">
        <v>352117</v>
      </c>
      <c r="J304" s="9">
        <v>359617</v>
      </c>
      <c r="K304" s="9">
        <v>359010</v>
      </c>
    </row>
    <row r="305" spans="1:11" ht="15.75">
      <c r="A305" s="5">
        <v>44467</v>
      </c>
      <c r="B305" s="6" t="s">
        <v>12</v>
      </c>
      <c r="C305" s="7">
        <v>13.17</v>
      </c>
      <c r="D305" s="7">
        <v>8.1999999999999993</v>
      </c>
      <c r="E305" s="8">
        <v>1000</v>
      </c>
      <c r="F305" s="6">
        <v>1000</v>
      </c>
      <c r="G305" s="6">
        <v>1000</v>
      </c>
      <c r="H305" s="9">
        <f t="shared" si="23"/>
        <v>3000</v>
      </c>
      <c r="I305" s="9">
        <v>387535</v>
      </c>
      <c r="J305" s="9">
        <v>390535</v>
      </c>
      <c r="K305" s="9">
        <v>390079</v>
      </c>
    </row>
    <row r="306" spans="1:11" ht="15.75">
      <c r="A306" s="5">
        <v>44468</v>
      </c>
      <c r="B306" s="6" t="s">
        <v>12</v>
      </c>
      <c r="C306" s="7">
        <v>12.89</v>
      </c>
      <c r="D306" s="7">
        <v>7.3</v>
      </c>
      <c r="E306" s="8">
        <v>1000</v>
      </c>
      <c r="F306" s="6">
        <v>1000</v>
      </c>
      <c r="G306" s="6">
        <v>1000</v>
      </c>
      <c r="H306" s="9">
        <f t="shared" si="23"/>
        <v>3000</v>
      </c>
      <c r="I306" s="9">
        <v>486151</v>
      </c>
      <c r="J306" s="9">
        <v>489151</v>
      </c>
      <c r="K306" s="9">
        <v>487046</v>
      </c>
    </row>
    <row r="307" spans="1:11" ht="15.75">
      <c r="A307" s="5">
        <v>44469</v>
      </c>
      <c r="B307" s="6" t="s">
        <v>12</v>
      </c>
      <c r="C307" s="7">
        <v>13.32</v>
      </c>
      <c r="D307" s="7">
        <v>8.6999999999999993</v>
      </c>
      <c r="E307" s="8">
        <v>1000</v>
      </c>
      <c r="F307" s="6">
        <v>1000</v>
      </c>
      <c r="G307" s="6">
        <v>1000</v>
      </c>
      <c r="H307" s="9">
        <f t="shared" si="23"/>
        <v>3000</v>
      </c>
      <c r="I307" s="9">
        <v>607209</v>
      </c>
      <c r="J307" s="9">
        <v>610209</v>
      </c>
      <c r="K307" s="9">
        <v>613453</v>
      </c>
    </row>
    <row r="308" spans="1:11" ht="15.75">
      <c r="A308" s="2" t="s">
        <v>13</v>
      </c>
      <c r="B308" s="2"/>
      <c r="C308" s="2"/>
      <c r="D308" s="2"/>
      <c r="E308" s="11">
        <f t="shared" ref="E308:K308" si="24">SUM(E278:E307)</f>
        <v>94100</v>
      </c>
      <c r="F308" s="11">
        <f t="shared" si="24"/>
        <v>52400</v>
      </c>
      <c r="G308" s="11">
        <f t="shared" si="24"/>
        <v>163700</v>
      </c>
      <c r="H308" s="11">
        <f t="shared" si="24"/>
        <v>310200</v>
      </c>
      <c r="I308" s="11">
        <f t="shared" si="24"/>
        <v>12214803</v>
      </c>
      <c r="J308" s="11">
        <f t="shared" si="24"/>
        <v>12524999</v>
      </c>
      <c r="K308" s="11">
        <f t="shared" si="24"/>
        <v>12522768</v>
      </c>
    </row>
    <row r="309" spans="1:11" ht="15.75">
      <c r="A309" s="12"/>
      <c r="B309" s="2"/>
      <c r="C309" s="2"/>
      <c r="D309" s="2"/>
      <c r="E309" s="13">
        <f t="shared" ref="E309:K309" si="25">SUM(E308/11575)</f>
        <v>8.129589632829374</v>
      </c>
      <c r="F309" s="13">
        <f t="shared" si="25"/>
        <v>4.5269978401727862</v>
      </c>
      <c r="G309" s="13">
        <f t="shared" si="25"/>
        <v>14.142548596112311</v>
      </c>
      <c r="H309" s="13">
        <f t="shared" si="25"/>
        <v>26.799136069114471</v>
      </c>
      <c r="I309" s="13">
        <f t="shared" si="25"/>
        <v>1055.2745572354211</v>
      </c>
      <c r="J309" s="13">
        <f t="shared" si="25"/>
        <v>1082.0733477321814</v>
      </c>
      <c r="K309" s="13">
        <f t="shared" si="25"/>
        <v>1081.8806047516198</v>
      </c>
    </row>
    <row r="310" spans="1:11" ht="15.75">
      <c r="A310" s="1" t="s">
        <v>25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47.25">
      <c r="A311" s="2" t="s">
        <v>1</v>
      </c>
      <c r="B311" s="2" t="s">
        <v>2</v>
      </c>
      <c r="C311" s="3" t="s">
        <v>18</v>
      </c>
      <c r="D311" s="3" t="s">
        <v>4</v>
      </c>
      <c r="E311" s="3" t="s">
        <v>5</v>
      </c>
      <c r="F311" s="3" t="s">
        <v>6</v>
      </c>
      <c r="G311" s="3" t="s">
        <v>7</v>
      </c>
      <c r="H311" s="3" t="s">
        <v>8</v>
      </c>
      <c r="I311" s="3" t="s">
        <v>9</v>
      </c>
      <c r="J311" s="3" t="s">
        <v>19</v>
      </c>
      <c r="K311" s="4" t="s">
        <v>11</v>
      </c>
    </row>
    <row r="312" spans="1:11" ht="15.75">
      <c r="A312" s="5">
        <v>44470</v>
      </c>
      <c r="B312" s="6" t="s">
        <v>12</v>
      </c>
      <c r="C312" s="7">
        <v>14.05</v>
      </c>
      <c r="D312" s="7">
        <v>11.1</v>
      </c>
      <c r="E312" s="8">
        <v>1000</v>
      </c>
      <c r="F312" s="8">
        <v>1000</v>
      </c>
      <c r="G312" s="8">
        <v>1000</v>
      </c>
      <c r="H312" s="9">
        <f t="shared" ref="H312:H342" si="26">E312+F312+G312</f>
        <v>3000</v>
      </c>
      <c r="I312" s="9">
        <v>898448</v>
      </c>
      <c r="J312" s="9">
        <v>901448</v>
      </c>
      <c r="K312" s="10">
        <v>906847</v>
      </c>
    </row>
    <row r="313" spans="1:11" ht="15.75">
      <c r="A313" s="5">
        <v>44471</v>
      </c>
      <c r="B313" s="6" t="s">
        <v>12</v>
      </c>
      <c r="C313" s="7">
        <v>13.99</v>
      </c>
      <c r="D313" s="7">
        <v>10.9</v>
      </c>
      <c r="E313" s="8">
        <v>2500</v>
      </c>
      <c r="F313" s="6">
        <v>1000</v>
      </c>
      <c r="G313" s="8">
        <v>1000</v>
      </c>
      <c r="H313" s="9">
        <f t="shared" si="26"/>
        <v>4500</v>
      </c>
      <c r="I313" s="9">
        <v>877366</v>
      </c>
      <c r="J313" s="9">
        <v>881866</v>
      </c>
      <c r="K313" s="10">
        <v>881634</v>
      </c>
    </row>
    <row r="314" spans="1:11" ht="18.75" customHeight="1">
      <c r="A314" s="5" t="s">
        <v>26</v>
      </c>
      <c r="B314" s="6" t="s">
        <v>12</v>
      </c>
      <c r="C314" s="7">
        <v>13.5</v>
      </c>
      <c r="D314" s="7">
        <v>9.3000000000000007</v>
      </c>
      <c r="E314" s="8">
        <v>2500</v>
      </c>
      <c r="F314" s="6">
        <v>1800</v>
      </c>
      <c r="G314" s="8">
        <v>1000</v>
      </c>
      <c r="H314" s="9">
        <f t="shared" si="26"/>
        <v>5300</v>
      </c>
      <c r="I314" s="9">
        <v>682756</v>
      </c>
      <c r="J314" s="9">
        <v>688056</v>
      </c>
      <c r="K314" s="10">
        <v>684276</v>
      </c>
    </row>
    <row r="315" spans="1:11" ht="15.75">
      <c r="A315" s="5">
        <v>44473</v>
      </c>
      <c r="B315" s="6" t="s">
        <v>12</v>
      </c>
      <c r="C315" s="7">
        <v>12.71</v>
      </c>
      <c r="D315" s="7">
        <v>6.7</v>
      </c>
      <c r="E315" s="8">
        <v>3500</v>
      </c>
      <c r="F315" s="6">
        <v>1800</v>
      </c>
      <c r="G315" s="8">
        <v>6000</v>
      </c>
      <c r="H315" s="9">
        <f t="shared" si="26"/>
        <v>11300</v>
      </c>
      <c r="I315" s="9">
        <v>423687</v>
      </c>
      <c r="J315" s="9">
        <v>434987</v>
      </c>
      <c r="K315" s="10">
        <v>429017</v>
      </c>
    </row>
    <row r="316" spans="1:11" ht="15.75">
      <c r="A316" s="5">
        <v>44474</v>
      </c>
      <c r="B316" s="6" t="s">
        <v>12</v>
      </c>
      <c r="C316" s="7">
        <v>13.5</v>
      </c>
      <c r="D316" s="7">
        <v>9.3000000000000007</v>
      </c>
      <c r="E316" s="8">
        <v>4200</v>
      </c>
      <c r="F316" s="6">
        <v>2100</v>
      </c>
      <c r="G316" s="8">
        <v>6000</v>
      </c>
      <c r="H316" s="9">
        <f t="shared" si="26"/>
        <v>12300</v>
      </c>
      <c r="I316" s="9">
        <v>349069</v>
      </c>
      <c r="J316" s="9">
        <v>361369</v>
      </c>
      <c r="K316" s="9">
        <v>367339</v>
      </c>
    </row>
    <row r="317" spans="1:11" ht="15.75">
      <c r="A317" s="5">
        <v>44475</v>
      </c>
      <c r="B317" s="6" t="s">
        <v>12</v>
      </c>
      <c r="C317" s="7">
        <v>13.2</v>
      </c>
      <c r="D317" s="7">
        <v>8.3000000000000007</v>
      </c>
      <c r="E317" s="8">
        <v>4200</v>
      </c>
      <c r="F317" s="6">
        <v>2100</v>
      </c>
      <c r="G317" s="8">
        <v>6500</v>
      </c>
      <c r="H317" s="9">
        <f t="shared" si="26"/>
        <v>12800</v>
      </c>
      <c r="I317" s="9">
        <v>325362</v>
      </c>
      <c r="J317" s="9">
        <v>338162</v>
      </c>
      <c r="K317" s="10">
        <v>335864</v>
      </c>
    </row>
    <row r="318" spans="1:11" ht="15.75">
      <c r="A318" s="5">
        <v>44476</v>
      </c>
      <c r="B318" s="6" t="s">
        <v>12</v>
      </c>
      <c r="C318" s="7">
        <v>13.81</v>
      </c>
      <c r="D318" s="7">
        <v>10.3</v>
      </c>
      <c r="E318" s="8">
        <v>4200</v>
      </c>
      <c r="F318" s="6">
        <v>2100</v>
      </c>
      <c r="G318" s="8">
        <v>7000</v>
      </c>
      <c r="H318" s="9">
        <f t="shared" si="26"/>
        <v>13300</v>
      </c>
      <c r="I318" s="9">
        <v>396270</v>
      </c>
      <c r="J318" s="9">
        <v>409570</v>
      </c>
      <c r="K318" s="10">
        <v>414259</v>
      </c>
    </row>
    <row r="319" spans="1:11" ht="15.75">
      <c r="A319" s="5">
        <v>44477</v>
      </c>
      <c r="B319" s="6" t="s">
        <v>12</v>
      </c>
      <c r="C319" s="7">
        <v>13.42</v>
      </c>
      <c r="D319" s="7">
        <v>9.1999999999999993</v>
      </c>
      <c r="E319" s="8">
        <v>4200</v>
      </c>
      <c r="F319" s="6">
        <v>2200</v>
      </c>
      <c r="G319" s="8">
        <v>6500</v>
      </c>
      <c r="H319" s="9">
        <f t="shared" si="26"/>
        <v>12900</v>
      </c>
      <c r="I319" s="9">
        <v>341987</v>
      </c>
      <c r="J319" s="9">
        <v>354887</v>
      </c>
      <c r="K319" s="10">
        <v>352264</v>
      </c>
    </row>
    <row r="320" spans="1:11" ht="15.75">
      <c r="A320" s="5">
        <v>44478</v>
      </c>
      <c r="B320" s="6" t="s">
        <v>12</v>
      </c>
      <c r="C320" s="7">
        <v>13.38</v>
      </c>
      <c r="D320" s="7">
        <v>8.9</v>
      </c>
      <c r="E320" s="8">
        <v>4200</v>
      </c>
      <c r="F320" s="6">
        <v>2200</v>
      </c>
      <c r="G320" s="8">
        <v>6500</v>
      </c>
      <c r="H320" s="9">
        <f t="shared" si="26"/>
        <v>12900</v>
      </c>
      <c r="I320" s="9">
        <v>226749</v>
      </c>
      <c r="J320" s="9">
        <v>239649</v>
      </c>
      <c r="K320" s="10">
        <v>238954</v>
      </c>
    </row>
    <row r="321" spans="1:11" ht="15.75">
      <c r="A321" s="5">
        <v>44479</v>
      </c>
      <c r="B321" s="6" t="s">
        <v>12</v>
      </c>
      <c r="C321" s="7">
        <v>13.78</v>
      </c>
      <c r="D321" s="7">
        <v>10.199999999999999</v>
      </c>
      <c r="E321" s="8">
        <v>4200</v>
      </c>
      <c r="F321" s="6">
        <v>2200</v>
      </c>
      <c r="G321" s="8">
        <v>6500</v>
      </c>
      <c r="H321" s="9">
        <f t="shared" si="26"/>
        <v>12900</v>
      </c>
      <c r="I321" s="9">
        <v>242063</v>
      </c>
      <c r="J321" s="9">
        <v>254963</v>
      </c>
      <c r="K321" s="10">
        <v>258049</v>
      </c>
    </row>
    <row r="322" spans="1:11" ht="15.75">
      <c r="A322" s="5">
        <v>44480</v>
      </c>
      <c r="B322" s="6" t="s">
        <v>12</v>
      </c>
      <c r="C322" s="7">
        <v>13.72</v>
      </c>
      <c r="D322" s="7">
        <v>10</v>
      </c>
      <c r="E322" s="8">
        <v>4200</v>
      </c>
      <c r="F322" s="6">
        <v>2200</v>
      </c>
      <c r="G322" s="8">
        <v>6500</v>
      </c>
      <c r="H322" s="9">
        <f t="shared" si="26"/>
        <v>12900</v>
      </c>
      <c r="I322" s="9">
        <v>239350</v>
      </c>
      <c r="J322" s="9">
        <v>252250</v>
      </c>
      <c r="K322" s="10">
        <v>251787</v>
      </c>
    </row>
    <row r="323" spans="1:11" ht="15.75">
      <c r="A323" s="5">
        <v>44481</v>
      </c>
      <c r="B323" s="6" t="s">
        <v>12</v>
      </c>
      <c r="C323" s="7">
        <v>13.99</v>
      </c>
      <c r="D323" s="7">
        <v>10.9</v>
      </c>
      <c r="E323" s="8">
        <v>4200</v>
      </c>
      <c r="F323" s="6">
        <v>2200</v>
      </c>
      <c r="G323" s="8">
        <v>6500</v>
      </c>
      <c r="H323" s="9">
        <f t="shared" si="26"/>
        <v>12900</v>
      </c>
      <c r="I323" s="9">
        <v>241376</v>
      </c>
      <c r="J323" s="9">
        <v>254276</v>
      </c>
      <c r="K323" s="10">
        <v>256360</v>
      </c>
    </row>
    <row r="324" spans="1:11" ht="15.75">
      <c r="A324" s="5">
        <v>44482</v>
      </c>
      <c r="B324" s="6" t="s">
        <v>12</v>
      </c>
      <c r="C324" s="7">
        <v>13.53</v>
      </c>
      <c r="D324" s="7">
        <v>9.4</v>
      </c>
      <c r="E324" s="8">
        <v>3500</v>
      </c>
      <c r="F324" s="6">
        <v>2200</v>
      </c>
      <c r="G324" s="8">
        <v>6500</v>
      </c>
      <c r="H324" s="9">
        <f t="shared" si="26"/>
        <v>12200</v>
      </c>
      <c r="I324" s="9">
        <v>161464</v>
      </c>
      <c r="J324" s="9">
        <v>173664</v>
      </c>
      <c r="K324" s="10">
        <v>170115</v>
      </c>
    </row>
    <row r="325" spans="1:11" ht="15.75">
      <c r="A325" s="5">
        <v>44483</v>
      </c>
      <c r="B325" s="6" t="s">
        <v>12</v>
      </c>
      <c r="C325" s="7">
        <v>13.99</v>
      </c>
      <c r="D325" s="7">
        <v>10.9</v>
      </c>
      <c r="E325" s="8">
        <v>3500</v>
      </c>
      <c r="F325" s="6">
        <v>2200</v>
      </c>
      <c r="G325" s="6">
        <v>7000</v>
      </c>
      <c r="H325" s="9">
        <f t="shared" si="26"/>
        <v>12700</v>
      </c>
      <c r="I325" s="9">
        <v>172926</v>
      </c>
      <c r="J325" s="9">
        <v>185626</v>
      </c>
      <c r="K325" s="10">
        <v>189175</v>
      </c>
    </row>
    <row r="326" spans="1:11" ht="15.75">
      <c r="A326" s="5">
        <v>44484</v>
      </c>
      <c r="B326" s="6" t="s">
        <v>12</v>
      </c>
      <c r="C326" s="7">
        <v>13.92</v>
      </c>
      <c r="D326" s="7">
        <v>10.65</v>
      </c>
      <c r="E326" s="8">
        <v>4000</v>
      </c>
      <c r="F326" s="6">
        <v>2200</v>
      </c>
      <c r="G326" s="6">
        <v>7000</v>
      </c>
      <c r="H326" s="9">
        <f t="shared" si="26"/>
        <v>13200</v>
      </c>
      <c r="I326" s="9">
        <v>170521</v>
      </c>
      <c r="J326" s="9">
        <v>183721</v>
      </c>
      <c r="K326" s="10">
        <v>183104</v>
      </c>
    </row>
    <row r="327" spans="1:11" ht="15.75">
      <c r="A327" s="5">
        <v>44485</v>
      </c>
      <c r="B327" s="6" t="s">
        <v>12</v>
      </c>
      <c r="C327" s="7">
        <v>13.75</v>
      </c>
      <c r="D327" s="7">
        <v>10.1</v>
      </c>
      <c r="E327" s="8">
        <v>3000</v>
      </c>
      <c r="F327" s="6">
        <v>2200</v>
      </c>
      <c r="G327" s="6">
        <v>7000</v>
      </c>
      <c r="H327" s="9">
        <f t="shared" si="26"/>
        <v>12200</v>
      </c>
      <c r="I327" s="9">
        <v>140510</v>
      </c>
      <c r="J327" s="9">
        <v>152710</v>
      </c>
      <c r="K327" s="10">
        <v>151475</v>
      </c>
    </row>
    <row r="328" spans="1:11" ht="15.75">
      <c r="A328" s="5">
        <v>44486</v>
      </c>
      <c r="B328" s="6" t="s">
        <v>12</v>
      </c>
      <c r="C328" s="7">
        <v>13.78</v>
      </c>
      <c r="D328" s="7">
        <v>10.199999999999999</v>
      </c>
      <c r="E328" s="8">
        <v>3000</v>
      </c>
      <c r="F328" s="6">
        <v>2200</v>
      </c>
      <c r="G328" s="6">
        <v>7000</v>
      </c>
      <c r="H328" s="9">
        <f t="shared" si="26"/>
        <v>12200</v>
      </c>
      <c r="I328" s="9">
        <v>105536</v>
      </c>
      <c r="J328" s="9">
        <v>117736</v>
      </c>
      <c r="K328" s="10">
        <v>117968</v>
      </c>
    </row>
    <row r="329" spans="1:11" ht="15.75">
      <c r="A329" s="5">
        <v>44487</v>
      </c>
      <c r="B329" s="6" t="s">
        <v>12</v>
      </c>
      <c r="C329" s="7">
        <v>13.96</v>
      </c>
      <c r="D329" s="7">
        <v>10.8</v>
      </c>
      <c r="E329" s="8">
        <v>3000</v>
      </c>
      <c r="F329" s="6">
        <v>2200</v>
      </c>
      <c r="G329" s="6">
        <v>7000</v>
      </c>
      <c r="H329" s="9">
        <f t="shared" si="26"/>
        <v>12200</v>
      </c>
      <c r="I329" s="9">
        <v>75634</v>
      </c>
      <c r="J329" s="9">
        <v>87834</v>
      </c>
      <c r="K329" s="10">
        <v>89223</v>
      </c>
    </row>
    <row r="330" spans="1:11" ht="15.75">
      <c r="A330" s="5">
        <v>44488</v>
      </c>
      <c r="B330" s="6" t="s">
        <v>12</v>
      </c>
      <c r="C330" s="7">
        <v>13.99</v>
      </c>
      <c r="D330" s="7">
        <v>10.9</v>
      </c>
      <c r="E330" s="8">
        <v>3000</v>
      </c>
      <c r="F330" s="6">
        <v>2200</v>
      </c>
      <c r="G330" s="6">
        <v>7000</v>
      </c>
      <c r="H330" s="9">
        <f t="shared" si="26"/>
        <v>12200</v>
      </c>
      <c r="I330" s="9">
        <v>103150</v>
      </c>
      <c r="J330" s="9">
        <v>115350</v>
      </c>
      <c r="K330" s="10">
        <v>115582</v>
      </c>
    </row>
    <row r="331" spans="1:11" ht="15.75">
      <c r="A331" s="5">
        <v>44489</v>
      </c>
      <c r="B331" s="6" t="s">
        <v>12</v>
      </c>
      <c r="C331" s="7">
        <v>13.99</v>
      </c>
      <c r="D331" s="7">
        <v>10.9</v>
      </c>
      <c r="E331" s="8">
        <v>2500</v>
      </c>
      <c r="F331" s="6">
        <v>2200</v>
      </c>
      <c r="G331" s="6">
        <v>7000</v>
      </c>
      <c r="H331" s="9">
        <f t="shared" si="26"/>
        <v>11700</v>
      </c>
      <c r="I331" s="9">
        <v>150239</v>
      </c>
      <c r="J331" s="9">
        <v>161939</v>
      </c>
      <c r="K331" s="10">
        <v>161939</v>
      </c>
    </row>
    <row r="332" spans="1:11" ht="15.75">
      <c r="A332" s="5">
        <v>44490</v>
      </c>
      <c r="B332" s="6" t="s">
        <v>12</v>
      </c>
      <c r="C332" s="7">
        <v>13.93</v>
      </c>
      <c r="D332" s="7">
        <v>10.7</v>
      </c>
      <c r="E332" s="8">
        <v>2500</v>
      </c>
      <c r="F332" s="6">
        <v>2200</v>
      </c>
      <c r="G332" s="6">
        <v>7000</v>
      </c>
      <c r="H332" s="9">
        <f t="shared" si="26"/>
        <v>11700</v>
      </c>
      <c r="I332" s="9">
        <v>135664</v>
      </c>
      <c r="J332" s="9">
        <v>147364</v>
      </c>
      <c r="K332" s="10">
        <v>146901</v>
      </c>
    </row>
    <row r="333" spans="1:11" ht="15.75">
      <c r="A333" s="5">
        <v>44491</v>
      </c>
      <c r="B333" s="6" t="s">
        <v>12</v>
      </c>
      <c r="C333" s="7">
        <v>13.99</v>
      </c>
      <c r="D333" s="7">
        <v>10.9</v>
      </c>
      <c r="E333" s="8">
        <v>2500</v>
      </c>
      <c r="F333" s="6">
        <v>2000</v>
      </c>
      <c r="G333" s="6">
        <v>7000</v>
      </c>
      <c r="H333" s="9">
        <f t="shared" si="26"/>
        <v>11500</v>
      </c>
      <c r="I333" s="9">
        <v>146448</v>
      </c>
      <c r="J333" s="9">
        <v>157948</v>
      </c>
      <c r="K333" s="10">
        <v>158411</v>
      </c>
    </row>
    <row r="334" spans="1:11" ht="15.75">
      <c r="A334" s="5">
        <v>44492</v>
      </c>
      <c r="B334" s="6" t="s">
        <v>12</v>
      </c>
      <c r="C334" s="7">
        <v>13.81</v>
      </c>
      <c r="D334" s="7">
        <v>10.3</v>
      </c>
      <c r="E334" s="8">
        <v>2500</v>
      </c>
      <c r="F334" s="6">
        <v>2000</v>
      </c>
      <c r="G334" s="6">
        <v>7000</v>
      </c>
      <c r="H334" s="9">
        <f t="shared" si="26"/>
        <v>11500</v>
      </c>
      <c r="I334" s="9">
        <v>135059</v>
      </c>
      <c r="J334" s="9">
        <v>146559</v>
      </c>
      <c r="K334" s="10">
        <v>145170</v>
      </c>
    </row>
    <row r="335" spans="1:11" ht="15.75">
      <c r="A335" s="5">
        <v>44493</v>
      </c>
      <c r="B335" s="6" t="s">
        <v>12</v>
      </c>
      <c r="C335" s="7">
        <v>13.78</v>
      </c>
      <c r="D335" s="7">
        <v>10.199999999999999</v>
      </c>
      <c r="E335" s="8">
        <v>2000</v>
      </c>
      <c r="F335" s="6">
        <v>2000</v>
      </c>
      <c r="G335" s="6">
        <v>5000</v>
      </c>
      <c r="H335" s="9">
        <f t="shared" si="26"/>
        <v>9000</v>
      </c>
      <c r="I335" s="9">
        <v>130021</v>
      </c>
      <c r="J335" s="9">
        <v>139021</v>
      </c>
      <c r="K335" s="10">
        <v>138795</v>
      </c>
    </row>
    <row r="336" spans="1:11" ht="15.75">
      <c r="A336" s="5">
        <v>44494</v>
      </c>
      <c r="B336" s="6" t="s">
        <v>12</v>
      </c>
      <c r="C336" s="7">
        <v>13.9</v>
      </c>
      <c r="D336" s="7">
        <v>10.6</v>
      </c>
      <c r="E336" s="8">
        <v>2000</v>
      </c>
      <c r="F336" s="6">
        <v>2000</v>
      </c>
      <c r="G336" s="6">
        <v>4000</v>
      </c>
      <c r="H336" s="9">
        <f t="shared" si="26"/>
        <v>8000</v>
      </c>
      <c r="I336" s="9">
        <v>126559</v>
      </c>
      <c r="J336" s="9">
        <v>134559</v>
      </c>
      <c r="K336" s="10">
        <v>135485</v>
      </c>
    </row>
    <row r="337" spans="1:11" ht="15.75">
      <c r="A337" s="5">
        <v>44495</v>
      </c>
      <c r="B337" s="6" t="s">
        <v>12</v>
      </c>
      <c r="C337" s="7">
        <v>13.81</v>
      </c>
      <c r="D337" s="7">
        <v>10.3</v>
      </c>
      <c r="E337" s="8">
        <v>2000</v>
      </c>
      <c r="F337" s="6">
        <v>2000</v>
      </c>
      <c r="G337" s="6">
        <v>7000</v>
      </c>
      <c r="H337" s="9">
        <f t="shared" si="26"/>
        <v>11000</v>
      </c>
      <c r="I337" s="9">
        <v>73740</v>
      </c>
      <c r="J337" s="9">
        <v>84740</v>
      </c>
      <c r="K337" s="10">
        <v>84045</v>
      </c>
    </row>
    <row r="338" spans="1:11" ht="15.75">
      <c r="A338" s="5">
        <v>44496</v>
      </c>
      <c r="B338" s="6" t="s">
        <v>12</v>
      </c>
      <c r="C338" s="7">
        <v>13.92</v>
      </c>
      <c r="D338" s="7">
        <v>10.65</v>
      </c>
      <c r="E338" s="8">
        <v>1500</v>
      </c>
      <c r="F338" s="6">
        <v>2000</v>
      </c>
      <c r="G338" s="6">
        <v>7000</v>
      </c>
      <c r="H338" s="9">
        <f t="shared" si="26"/>
        <v>10500</v>
      </c>
      <c r="I338" s="9">
        <v>54911</v>
      </c>
      <c r="J338" s="9">
        <v>65411</v>
      </c>
      <c r="K338" s="9">
        <v>66183</v>
      </c>
    </row>
    <row r="339" spans="1:11" ht="15.75">
      <c r="A339" s="5">
        <v>44497</v>
      </c>
      <c r="B339" s="6" t="s">
        <v>12</v>
      </c>
      <c r="C339" s="7">
        <v>13.92</v>
      </c>
      <c r="D339" s="7">
        <v>10.65</v>
      </c>
      <c r="E339" s="8">
        <v>1500</v>
      </c>
      <c r="F339" s="6">
        <v>2000</v>
      </c>
      <c r="G339" s="6">
        <v>7000</v>
      </c>
      <c r="H339" s="9">
        <f t="shared" si="26"/>
        <v>10500</v>
      </c>
      <c r="I339" s="9">
        <v>48720</v>
      </c>
      <c r="J339" s="9">
        <v>59220</v>
      </c>
      <c r="K339" s="9">
        <v>59220</v>
      </c>
    </row>
    <row r="340" spans="1:11" ht="15.75">
      <c r="A340" s="5">
        <v>44498</v>
      </c>
      <c r="B340" s="6" t="s">
        <v>12</v>
      </c>
      <c r="C340" s="7">
        <v>13.99</v>
      </c>
      <c r="D340" s="7">
        <v>10.9</v>
      </c>
      <c r="E340" s="8">
        <v>1500</v>
      </c>
      <c r="F340" s="6">
        <v>1900</v>
      </c>
      <c r="G340" s="6">
        <v>7000</v>
      </c>
      <c r="H340" s="9">
        <f t="shared" si="26"/>
        <v>10400</v>
      </c>
      <c r="I340" s="9">
        <v>36507</v>
      </c>
      <c r="J340" s="9">
        <v>46907</v>
      </c>
      <c r="K340" s="9">
        <v>47524</v>
      </c>
    </row>
    <row r="341" spans="1:11" ht="15.75">
      <c r="A341" s="5">
        <v>44499</v>
      </c>
      <c r="B341" s="6" t="s">
        <v>12</v>
      </c>
      <c r="C341" s="7">
        <v>13.99</v>
      </c>
      <c r="D341" s="7">
        <v>10.9</v>
      </c>
      <c r="E341" s="8">
        <v>1500</v>
      </c>
      <c r="F341" s="6">
        <v>1900</v>
      </c>
      <c r="G341" s="6">
        <v>7000</v>
      </c>
      <c r="H341" s="9">
        <f t="shared" si="26"/>
        <v>10400</v>
      </c>
      <c r="I341" s="9">
        <v>23870</v>
      </c>
      <c r="J341" s="9">
        <v>34270</v>
      </c>
      <c r="K341" s="9">
        <v>34270</v>
      </c>
    </row>
    <row r="342" spans="1:11" ht="15.75">
      <c r="A342" s="5">
        <v>44500</v>
      </c>
      <c r="B342" s="6" t="s">
        <v>12</v>
      </c>
      <c r="C342" s="7">
        <v>13.99</v>
      </c>
      <c r="D342" s="7">
        <v>10.9</v>
      </c>
      <c r="E342" s="8">
        <v>1500</v>
      </c>
      <c r="F342" s="6">
        <v>1700</v>
      </c>
      <c r="G342" s="6">
        <v>6000</v>
      </c>
      <c r="H342" s="9">
        <f t="shared" si="26"/>
        <v>9200</v>
      </c>
      <c r="I342" s="9">
        <v>27098</v>
      </c>
      <c r="J342" s="9">
        <v>36298</v>
      </c>
      <c r="K342" s="9">
        <v>36298</v>
      </c>
    </row>
    <row r="343" spans="1:11" ht="15.75">
      <c r="A343" s="2" t="s">
        <v>13</v>
      </c>
      <c r="B343" s="2"/>
      <c r="C343" s="2"/>
      <c r="D343" s="2"/>
      <c r="E343" s="11">
        <f t="shared" ref="E343:K343" si="27">SUM(E312:E342)</f>
        <v>89600</v>
      </c>
      <c r="F343" s="11">
        <f t="shared" si="27"/>
        <v>62200</v>
      </c>
      <c r="G343" s="11">
        <f t="shared" si="27"/>
        <v>187500</v>
      </c>
      <c r="H343" s="11">
        <f t="shared" si="27"/>
        <v>339300</v>
      </c>
      <c r="I343" s="11">
        <f t="shared" si="27"/>
        <v>7263060</v>
      </c>
      <c r="J343" s="11">
        <f t="shared" si="27"/>
        <v>7602360</v>
      </c>
      <c r="K343" s="11">
        <f t="shared" si="27"/>
        <v>7607533</v>
      </c>
    </row>
    <row r="344" spans="1:11" ht="15.75">
      <c r="A344" s="12"/>
      <c r="B344" s="2"/>
      <c r="C344" s="2"/>
      <c r="D344" s="2"/>
      <c r="E344" s="13">
        <f t="shared" ref="E344:K344" si="28">SUM(E343/11575)</f>
        <v>7.740820734341253</v>
      </c>
      <c r="F344" s="13">
        <f t="shared" si="28"/>
        <v>5.3736501079913603</v>
      </c>
      <c r="G344" s="13">
        <f t="shared" si="28"/>
        <v>16.198704103671705</v>
      </c>
      <c r="H344" s="13">
        <f t="shared" si="28"/>
        <v>29.31317494600432</v>
      </c>
      <c r="I344" s="13">
        <f t="shared" si="28"/>
        <v>627.47818574514042</v>
      </c>
      <c r="J344" s="13">
        <f t="shared" si="28"/>
        <v>656.79136069114475</v>
      </c>
      <c r="K344" s="13">
        <f t="shared" si="28"/>
        <v>657.23827213822892</v>
      </c>
    </row>
    <row r="345" spans="1:11" ht="15.75">
      <c r="A345" s="1" t="s">
        <v>27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47.25">
      <c r="A346" s="2" t="s">
        <v>1</v>
      </c>
      <c r="B346" s="2" t="s">
        <v>2</v>
      </c>
      <c r="C346" s="3" t="s">
        <v>18</v>
      </c>
      <c r="D346" s="3" t="s">
        <v>4</v>
      </c>
      <c r="E346" s="3" t="s">
        <v>5</v>
      </c>
      <c r="F346" s="3" t="s">
        <v>6</v>
      </c>
      <c r="G346" s="3" t="s">
        <v>7</v>
      </c>
      <c r="H346" s="3" t="s">
        <v>8</v>
      </c>
      <c r="I346" s="3" t="s">
        <v>9</v>
      </c>
      <c r="J346" s="3" t="s">
        <v>19</v>
      </c>
      <c r="K346" s="4" t="s">
        <v>11</v>
      </c>
    </row>
    <row r="347" spans="1:11" ht="15.75">
      <c r="A347" s="5">
        <v>44501</v>
      </c>
      <c r="B347" s="6" t="s">
        <v>12</v>
      </c>
      <c r="C347" s="7">
        <v>13.99</v>
      </c>
      <c r="D347" s="7">
        <v>10.9</v>
      </c>
      <c r="E347" s="8">
        <v>1000</v>
      </c>
      <c r="F347" s="8">
        <v>1700</v>
      </c>
      <c r="G347" s="8">
        <v>6000</v>
      </c>
      <c r="H347" s="9">
        <f t="shared" ref="H347:H376" si="29">E347+F347+G347</f>
        <v>8700</v>
      </c>
      <c r="I347" s="9">
        <v>39782</v>
      </c>
      <c r="J347" s="9">
        <v>48482</v>
      </c>
      <c r="K347" s="10">
        <v>48482</v>
      </c>
    </row>
    <row r="348" spans="1:11" ht="15.75">
      <c r="A348" s="5">
        <v>44502</v>
      </c>
      <c r="B348" s="6" t="s">
        <v>12</v>
      </c>
      <c r="C348" s="7">
        <v>13.99</v>
      </c>
      <c r="D348" s="7">
        <v>10.9</v>
      </c>
      <c r="E348" s="8">
        <v>1000</v>
      </c>
      <c r="F348" s="6">
        <v>1400</v>
      </c>
      <c r="G348" s="8">
        <v>4000</v>
      </c>
      <c r="H348" s="9">
        <f t="shared" si="29"/>
        <v>6400</v>
      </c>
      <c r="I348" s="9">
        <v>42946</v>
      </c>
      <c r="J348" s="9">
        <v>49346</v>
      </c>
      <c r="K348" s="10">
        <v>49346</v>
      </c>
    </row>
    <row r="349" spans="1:11" ht="15.75">
      <c r="A349" s="5">
        <v>44503</v>
      </c>
      <c r="B349" s="6" t="s">
        <v>12</v>
      </c>
      <c r="C349" s="7">
        <v>13.95</v>
      </c>
      <c r="D349" s="7">
        <v>10.75</v>
      </c>
      <c r="E349" s="8">
        <v>500</v>
      </c>
      <c r="F349" s="6">
        <v>500</v>
      </c>
      <c r="G349" s="8">
        <v>4000</v>
      </c>
      <c r="H349" s="9">
        <f t="shared" si="29"/>
        <v>5000</v>
      </c>
      <c r="I349" s="9">
        <v>38182</v>
      </c>
      <c r="J349" s="9">
        <v>43182</v>
      </c>
      <c r="K349" s="10">
        <v>42797</v>
      </c>
    </row>
    <row r="350" spans="1:11" ht="15.75">
      <c r="A350" s="5">
        <v>44504</v>
      </c>
      <c r="B350" s="6" t="s">
        <v>12</v>
      </c>
      <c r="C350" s="7">
        <v>13.98</v>
      </c>
      <c r="D350" s="7">
        <v>10.85</v>
      </c>
      <c r="E350" s="8">
        <v>500</v>
      </c>
      <c r="F350" s="6">
        <v>500</v>
      </c>
      <c r="G350" s="8">
        <v>4000</v>
      </c>
      <c r="H350" s="9">
        <f t="shared" si="29"/>
        <v>5000</v>
      </c>
      <c r="I350" s="9">
        <v>38288</v>
      </c>
      <c r="J350" s="9">
        <v>43288</v>
      </c>
      <c r="K350" s="10">
        <v>43520</v>
      </c>
    </row>
    <row r="351" spans="1:11" ht="15.75">
      <c r="A351" s="5">
        <v>44505</v>
      </c>
      <c r="B351" s="6" t="s">
        <v>12</v>
      </c>
      <c r="C351" s="7">
        <v>13.99</v>
      </c>
      <c r="D351" s="7">
        <v>10.9</v>
      </c>
      <c r="E351" s="8">
        <v>500</v>
      </c>
      <c r="F351" s="6">
        <v>500</v>
      </c>
      <c r="G351" s="8">
        <v>4000</v>
      </c>
      <c r="H351" s="9">
        <f t="shared" si="29"/>
        <v>5000</v>
      </c>
      <c r="I351" s="9">
        <v>31802</v>
      </c>
      <c r="J351" s="9">
        <v>36802</v>
      </c>
      <c r="K351" s="9">
        <v>36956</v>
      </c>
    </row>
    <row r="352" spans="1:11" ht="15.75">
      <c r="A352" s="5">
        <v>44506</v>
      </c>
      <c r="B352" s="6" t="s">
        <v>12</v>
      </c>
      <c r="C352" s="7">
        <v>13.99</v>
      </c>
      <c r="D352" s="7">
        <v>10.9</v>
      </c>
      <c r="E352" s="8">
        <v>500</v>
      </c>
      <c r="F352" s="6">
        <v>500</v>
      </c>
      <c r="G352" s="8">
        <v>4000</v>
      </c>
      <c r="H352" s="9">
        <f t="shared" si="29"/>
        <v>5000</v>
      </c>
      <c r="I352" s="9">
        <v>28293</v>
      </c>
      <c r="J352" s="9">
        <v>33293</v>
      </c>
      <c r="K352" s="10">
        <v>33293</v>
      </c>
    </row>
    <row r="353" spans="1:11" ht="15.75">
      <c r="A353" s="5">
        <v>44507</v>
      </c>
      <c r="B353" s="6" t="s">
        <v>12</v>
      </c>
      <c r="C353" s="7">
        <v>13.99</v>
      </c>
      <c r="D353" s="7">
        <v>10.9</v>
      </c>
      <c r="E353" s="8">
        <v>500</v>
      </c>
      <c r="F353" s="6">
        <v>500</v>
      </c>
      <c r="G353" s="8">
        <v>4000</v>
      </c>
      <c r="H353" s="9">
        <f t="shared" si="29"/>
        <v>5000</v>
      </c>
      <c r="I353" s="9">
        <v>31693</v>
      </c>
      <c r="J353" s="9">
        <v>36693</v>
      </c>
      <c r="K353" s="10">
        <v>36693</v>
      </c>
    </row>
    <row r="354" spans="1:11" ht="15.75">
      <c r="A354" s="5">
        <v>44508</v>
      </c>
      <c r="B354" s="6" t="s">
        <v>12</v>
      </c>
      <c r="C354" s="7">
        <v>13.99</v>
      </c>
      <c r="D354" s="7">
        <v>10.9</v>
      </c>
      <c r="E354" s="8">
        <v>500</v>
      </c>
      <c r="F354" s="6">
        <v>500</v>
      </c>
      <c r="G354" s="8">
        <v>4000</v>
      </c>
      <c r="H354" s="9">
        <f t="shared" si="29"/>
        <v>5000</v>
      </c>
      <c r="I354" s="9">
        <v>29082</v>
      </c>
      <c r="J354" s="9">
        <v>34082</v>
      </c>
      <c r="K354" s="10">
        <v>34082</v>
      </c>
    </row>
    <row r="355" spans="1:11" ht="15.75">
      <c r="A355" s="5">
        <v>44509</v>
      </c>
      <c r="B355" s="6" t="s">
        <v>12</v>
      </c>
      <c r="C355" s="7">
        <v>13.99</v>
      </c>
      <c r="D355" s="7">
        <v>10.9</v>
      </c>
      <c r="E355" s="8">
        <v>500</v>
      </c>
      <c r="F355" s="6">
        <v>500</v>
      </c>
      <c r="G355" s="8">
        <v>4000</v>
      </c>
      <c r="H355" s="9">
        <f t="shared" si="29"/>
        <v>5000</v>
      </c>
      <c r="I355" s="9">
        <v>55166</v>
      </c>
      <c r="J355" s="9">
        <v>60166</v>
      </c>
      <c r="K355" s="10">
        <v>60166</v>
      </c>
    </row>
    <row r="356" spans="1:11" ht="15.75">
      <c r="A356" s="5">
        <v>44510</v>
      </c>
      <c r="B356" s="6" t="s">
        <v>12</v>
      </c>
      <c r="C356" s="7">
        <v>13.93</v>
      </c>
      <c r="D356" s="7">
        <v>10.7</v>
      </c>
      <c r="E356" s="8">
        <v>500</v>
      </c>
      <c r="F356" s="6">
        <v>500</v>
      </c>
      <c r="G356" s="8">
        <v>4000</v>
      </c>
      <c r="H356" s="9">
        <f t="shared" si="29"/>
        <v>5000</v>
      </c>
      <c r="I356" s="9">
        <v>31795</v>
      </c>
      <c r="J356" s="9">
        <v>36795</v>
      </c>
      <c r="K356" s="10">
        <v>36332</v>
      </c>
    </row>
    <row r="357" spans="1:11" ht="15.75">
      <c r="A357" s="5">
        <v>44511</v>
      </c>
      <c r="B357" s="6" t="s">
        <v>12</v>
      </c>
      <c r="C357" s="7">
        <v>13.99</v>
      </c>
      <c r="D357" s="7">
        <v>10.9</v>
      </c>
      <c r="E357" s="8">
        <v>500</v>
      </c>
      <c r="F357" s="6">
        <v>500</v>
      </c>
      <c r="G357" s="8">
        <v>4000</v>
      </c>
      <c r="H357" s="9">
        <f t="shared" si="29"/>
        <v>5000</v>
      </c>
      <c r="I357" s="9">
        <v>25703</v>
      </c>
      <c r="J357" s="9">
        <v>30703</v>
      </c>
      <c r="K357" s="10">
        <v>31166</v>
      </c>
    </row>
    <row r="358" spans="1:11" ht="15.75">
      <c r="A358" s="5">
        <v>44512</v>
      </c>
      <c r="B358" s="6" t="s">
        <v>12</v>
      </c>
      <c r="C358" s="7">
        <v>13.99</v>
      </c>
      <c r="D358" s="7">
        <v>10.9</v>
      </c>
      <c r="E358" s="8">
        <v>100</v>
      </c>
      <c r="F358" s="6">
        <v>100</v>
      </c>
      <c r="G358" s="8">
        <v>2000</v>
      </c>
      <c r="H358" s="9">
        <f t="shared" si="29"/>
        <v>2200</v>
      </c>
      <c r="I358" s="9">
        <v>19583</v>
      </c>
      <c r="J358" s="9">
        <v>21783</v>
      </c>
      <c r="K358" s="10">
        <v>21783</v>
      </c>
    </row>
    <row r="359" spans="1:11" ht="15.75">
      <c r="A359" s="5">
        <v>44513</v>
      </c>
      <c r="B359" s="6" t="s">
        <v>12</v>
      </c>
      <c r="C359" s="7">
        <v>13.99</v>
      </c>
      <c r="D359" s="7">
        <v>10.9</v>
      </c>
      <c r="E359" s="8">
        <v>100</v>
      </c>
      <c r="F359" s="6">
        <v>100</v>
      </c>
      <c r="G359" s="8">
        <v>1000</v>
      </c>
      <c r="H359" s="9">
        <f t="shared" si="29"/>
        <v>1200</v>
      </c>
      <c r="I359" s="9">
        <v>30354</v>
      </c>
      <c r="J359" s="9">
        <v>31554</v>
      </c>
      <c r="K359" s="10">
        <v>31554</v>
      </c>
    </row>
    <row r="360" spans="1:11" ht="15.75">
      <c r="A360" s="5">
        <v>44514</v>
      </c>
      <c r="B360" s="6" t="s">
        <v>12</v>
      </c>
      <c r="C360" s="7">
        <v>13.99</v>
      </c>
      <c r="D360" s="7">
        <v>10.9</v>
      </c>
      <c r="E360" s="8">
        <v>0</v>
      </c>
      <c r="F360" s="6">
        <v>0</v>
      </c>
      <c r="G360" s="6">
        <v>1000</v>
      </c>
      <c r="H360" s="9">
        <f t="shared" si="29"/>
        <v>1000</v>
      </c>
      <c r="I360" s="9">
        <v>26712</v>
      </c>
      <c r="J360" s="9">
        <v>27712</v>
      </c>
      <c r="K360" s="10">
        <v>27712</v>
      </c>
    </row>
    <row r="361" spans="1:11" ht="15.75">
      <c r="A361" s="5">
        <v>44515</v>
      </c>
      <c r="B361" s="6" t="s">
        <v>12</v>
      </c>
      <c r="C361" s="7">
        <v>13.95</v>
      </c>
      <c r="D361" s="7">
        <v>10.75</v>
      </c>
      <c r="E361" s="8">
        <v>0</v>
      </c>
      <c r="F361" s="6">
        <v>0</v>
      </c>
      <c r="G361" s="6">
        <v>1000</v>
      </c>
      <c r="H361" s="9">
        <f t="shared" si="29"/>
        <v>1000</v>
      </c>
      <c r="I361" s="9">
        <v>19471</v>
      </c>
      <c r="J361" s="9">
        <v>20471</v>
      </c>
      <c r="K361" s="10">
        <v>20086</v>
      </c>
    </row>
    <row r="362" spans="1:11" ht="15.75">
      <c r="A362" s="5">
        <v>44516</v>
      </c>
      <c r="B362" s="6" t="s">
        <v>12</v>
      </c>
      <c r="C362" s="7">
        <v>13.98</v>
      </c>
      <c r="D362" s="7">
        <v>10.85</v>
      </c>
      <c r="E362" s="8">
        <v>0</v>
      </c>
      <c r="F362" s="6">
        <v>0</v>
      </c>
      <c r="G362" s="6">
        <v>1000</v>
      </c>
      <c r="H362" s="9">
        <f t="shared" si="29"/>
        <v>1000</v>
      </c>
      <c r="I362" s="9">
        <v>25637</v>
      </c>
      <c r="J362" s="9">
        <v>26637</v>
      </c>
      <c r="K362" s="10">
        <v>26869</v>
      </c>
    </row>
    <row r="363" spans="1:11" ht="15.75">
      <c r="A363" s="5">
        <v>44517</v>
      </c>
      <c r="B363" s="6" t="s">
        <v>12</v>
      </c>
      <c r="C363" s="7">
        <v>13.99</v>
      </c>
      <c r="D363" s="7">
        <v>10.9</v>
      </c>
      <c r="E363" s="8">
        <v>0</v>
      </c>
      <c r="F363" s="6">
        <v>0</v>
      </c>
      <c r="G363" s="6">
        <v>1000</v>
      </c>
      <c r="H363" s="9">
        <f t="shared" si="29"/>
        <v>1000</v>
      </c>
      <c r="I363" s="9">
        <v>28231</v>
      </c>
      <c r="J363" s="9">
        <v>29231</v>
      </c>
      <c r="K363" s="10">
        <v>29385</v>
      </c>
    </row>
    <row r="364" spans="1:11" ht="15.75">
      <c r="A364" s="5">
        <v>44518</v>
      </c>
      <c r="B364" s="6" t="s">
        <v>12</v>
      </c>
      <c r="C364" s="7">
        <v>13.95</v>
      </c>
      <c r="D364" s="7">
        <v>10.75</v>
      </c>
      <c r="E364" s="8">
        <v>0</v>
      </c>
      <c r="F364" s="6">
        <v>0</v>
      </c>
      <c r="G364" s="6">
        <v>1000</v>
      </c>
      <c r="H364" s="9">
        <f t="shared" si="29"/>
        <v>1000</v>
      </c>
      <c r="I364" s="9">
        <v>21889</v>
      </c>
      <c r="J364" s="9">
        <v>22889</v>
      </c>
      <c r="K364" s="10">
        <v>22504</v>
      </c>
    </row>
    <row r="365" spans="1:11" ht="15.75">
      <c r="A365" s="5">
        <v>44519</v>
      </c>
      <c r="B365" s="6" t="s">
        <v>12</v>
      </c>
      <c r="C365" s="7">
        <v>13.98</v>
      </c>
      <c r="D365" s="7">
        <v>10.85</v>
      </c>
      <c r="E365" s="8">
        <v>0</v>
      </c>
      <c r="F365" s="6">
        <v>0</v>
      </c>
      <c r="G365" s="6">
        <v>1000</v>
      </c>
      <c r="H365" s="9">
        <f t="shared" si="29"/>
        <v>1000</v>
      </c>
      <c r="I365" s="9">
        <v>21978</v>
      </c>
      <c r="J365" s="9">
        <v>22978</v>
      </c>
      <c r="K365" s="10">
        <v>23210</v>
      </c>
    </row>
    <row r="366" spans="1:11" ht="15.75">
      <c r="A366" s="5">
        <v>44520</v>
      </c>
      <c r="B366" s="6" t="s">
        <v>12</v>
      </c>
      <c r="C366" s="7">
        <v>13.93</v>
      </c>
      <c r="D366" s="7">
        <v>10.7</v>
      </c>
      <c r="E366" s="8">
        <v>0</v>
      </c>
      <c r="F366" s="6">
        <v>0</v>
      </c>
      <c r="G366" s="6">
        <v>1000</v>
      </c>
      <c r="H366" s="9">
        <f t="shared" si="29"/>
        <v>1000</v>
      </c>
      <c r="I366" s="9">
        <v>26944</v>
      </c>
      <c r="J366" s="9">
        <v>27944</v>
      </c>
      <c r="K366" s="10">
        <v>27635</v>
      </c>
    </row>
    <row r="367" spans="1:11" ht="15.75">
      <c r="A367" s="5">
        <v>44521</v>
      </c>
      <c r="B367" s="6" t="s">
        <v>12</v>
      </c>
      <c r="C367" s="7">
        <v>13.99</v>
      </c>
      <c r="D367" s="7">
        <v>10.9</v>
      </c>
      <c r="E367" s="8">
        <v>0</v>
      </c>
      <c r="F367" s="6">
        <v>0</v>
      </c>
      <c r="G367" s="6">
        <v>1000</v>
      </c>
      <c r="H367" s="9">
        <f t="shared" si="29"/>
        <v>1000</v>
      </c>
      <c r="I367" s="9">
        <v>25983</v>
      </c>
      <c r="J367" s="9">
        <v>26983</v>
      </c>
      <c r="K367" s="10">
        <v>27446</v>
      </c>
    </row>
    <row r="368" spans="1:11" ht="15.75">
      <c r="A368" s="5">
        <v>44522</v>
      </c>
      <c r="B368" s="6" t="s">
        <v>12</v>
      </c>
      <c r="C368" s="7">
        <v>13.99</v>
      </c>
      <c r="D368" s="7">
        <v>10.9</v>
      </c>
      <c r="E368" s="8">
        <v>0</v>
      </c>
      <c r="F368" s="6">
        <v>0</v>
      </c>
      <c r="G368" s="6">
        <v>1000</v>
      </c>
      <c r="H368" s="9">
        <f t="shared" si="29"/>
        <v>1000</v>
      </c>
      <c r="I368" s="9">
        <v>26043</v>
      </c>
      <c r="J368" s="9">
        <v>27043</v>
      </c>
      <c r="K368" s="10">
        <v>27043</v>
      </c>
    </row>
    <row r="369" spans="1:11" ht="15.75">
      <c r="A369" s="5">
        <v>44523</v>
      </c>
      <c r="B369" s="6" t="s">
        <v>12</v>
      </c>
      <c r="C369" s="7">
        <v>13.93</v>
      </c>
      <c r="D369" s="7">
        <v>10.7</v>
      </c>
      <c r="E369" s="8">
        <v>0</v>
      </c>
      <c r="F369" s="6">
        <v>0</v>
      </c>
      <c r="G369" s="6">
        <v>1000</v>
      </c>
      <c r="H369" s="9">
        <f t="shared" si="29"/>
        <v>1000</v>
      </c>
      <c r="I369" s="9">
        <v>25701</v>
      </c>
      <c r="J369" s="9">
        <v>26701</v>
      </c>
      <c r="K369" s="10">
        <v>26238</v>
      </c>
    </row>
    <row r="370" spans="1:11" ht="15.75">
      <c r="A370" s="5">
        <v>44524</v>
      </c>
      <c r="B370" s="6" t="s">
        <v>12</v>
      </c>
      <c r="C370" s="7">
        <v>13.98</v>
      </c>
      <c r="D370" s="7">
        <v>10.85</v>
      </c>
      <c r="E370" s="8">
        <v>0</v>
      </c>
      <c r="F370" s="6">
        <v>0</v>
      </c>
      <c r="G370" s="6">
        <v>1000</v>
      </c>
      <c r="H370" s="9">
        <f t="shared" si="29"/>
        <v>1000</v>
      </c>
      <c r="I370" s="9">
        <v>33191</v>
      </c>
      <c r="J370" s="9">
        <v>34191</v>
      </c>
      <c r="K370" s="10">
        <v>34500</v>
      </c>
    </row>
    <row r="371" spans="1:11" ht="15.75">
      <c r="A371" s="5">
        <v>44525</v>
      </c>
      <c r="B371" s="6" t="s">
        <v>12</v>
      </c>
      <c r="C371" s="7">
        <v>13.99</v>
      </c>
      <c r="D371" s="7">
        <v>10.9</v>
      </c>
      <c r="E371" s="8">
        <v>0</v>
      </c>
      <c r="F371" s="6">
        <v>0</v>
      </c>
      <c r="G371" s="6">
        <v>1000</v>
      </c>
      <c r="H371" s="9">
        <f t="shared" si="29"/>
        <v>1000</v>
      </c>
      <c r="I371" s="9">
        <v>28113</v>
      </c>
      <c r="J371" s="9">
        <v>29113</v>
      </c>
      <c r="K371" s="10">
        <v>29267</v>
      </c>
    </row>
    <row r="372" spans="1:11" ht="15.75">
      <c r="A372" s="5">
        <v>44526</v>
      </c>
      <c r="B372" s="6" t="s">
        <v>12</v>
      </c>
      <c r="C372" s="7">
        <v>13.95</v>
      </c>
      <c r="D372" s="7">
        <v>10.75</v>
      </c>
      <c r="E372" s="8">
        <v>0</v>
      </c>
      <c r="F372" s="6">
        <v>0</v>
      </c>
      <c r="G372" s="6">
        <v>1000</v>
      </c>
      <c r="H372" s="9">
        <f t="shared" si="29"/>
        <v>1000</v>
      </c>
      <c r="I372" s="9">
        <v>22289</v>
      </c>
      <c r="J372" s="9">
        <v>23289</v>
      </c>
      <c r="K372" s="10">
        <v>22904</v>
      </c>
    </row>
    <row r="373" spans="1:11" ht="15.75">
      <c r="A373" s="5">
        <v>44527</v>
      </c>
      <c r="B373" s="6" t="s">
        <v>12</v>
      </c>
      <c r="C373" s="7">
        <v>13.99</v>
      </c>
      <c r="D373" s="7">
        <v>10.9</v>
      </c>
      <c r="E373" s="8">
        <v>0</v>
      </c>
      <c r="F373" s="6">
        <v>0</v>
      </c>
      <c r="G373" s="6">
        <v>1000</v>
      </c>
      <c r="H373" s="9">
        <f t="shared" si="29"/>
        <v>1000</v>
      </c>
      <c r="I373" s="9">
        <v>22510</v>
      </c>
      <c r="J373" s="9">
        <v>23510</v>
      </c>
      <c r="K373" s="9">
        <v>23985</v>
      </c>
    </row>
    <row r="374" spans="1:11" ht="15.75">
      <c r="A374" s="5">
        <v>44528</v>
      </c>
      <c r="B374" s="6" t="s">
        <v>12</v>
      </c>
      <c r="C374" s="7">
        <v>13.99</v>
      </c>
      <c r="D374" s="7">
        <v>10.9</v>
      </c>
      <c r="E374" s="8">
        <v>0</v>
      </c>
      <c r="F374" s="6">
        <v>0</v>
      </c>
      <c r="G374" s="6">
        <v>1000</v>
      </c>
      <c r="H374" s="9">
        <f t="shared" si="29"/>
        <v>1000</v>
      </c>
      <c r="I374" s="9">
        <v>22523</v>
      </c>
      <c r="J374" s="9">
        <v>23523</v>
      </c>
      <c r="K374" s="9">
        <v>23523</v>
      </c>
    </row>
    <row r="375" spans="1:11" ht="15.75">
      <c r="A375" s="5">
        <v>44529</v>
      </c>
      <c r="B375" s="6" t="s">
        <v>12</v>
      </c>
      <c r="C375" s="7">
        <v>13.95</v>
      </c>
      <c r="D375" s="7">
        <v>10.75</v>
      </c>
      <c r="E375" s="8">
        <v>0</v>
      </c>
      <c r="F375" s="6">
        <v>0</v>
      </c>
      <c r="G375" s="6">
        <v>1000</v>
      </c>
      <c r="H375" s="9">
        <f t="shared" si="29"/>
        <v>1000</v>
      </c>
      <c r="I375" s="9">
        <v>22334</v>
      </c>
      <c r="J375" s="9">
        <v>23334</v>
      </c>
      <c r="K375" s="9">
        <v>22949</v>
      </c>
    </row>
    <row r="376" spans="1:11" ht="15.75">
      <c r="A376" s="5">
        <v>44530</v>
      </c>
      <c r="B376" s="6" t="s">
        <v>12</v>
      </c>
      <c r="C376" s="7">
        <v>13.95</v>
      </c>
      <c r="D376" s="7">
        <v>10.75</v>
      </c>
      <c r="E376" s="8">
        <v>0</v>
      </c>
      <c r="F376" s="6">
        <v>0</v>
      </c>
      <c r="G376" s="6">
        <v>1000</v>
      </c>
      <c r="H376" s="9">
        <f t="shared" si="29"/>
        <v>1000</v>
      </c>
      <c r="I376" s="9">
        <v>18237</v>
      </c>
      <c r="J376" s="9">
        <v>19237</v>
      </c>
      <c r="K376" s="9">
        <v>19237</v>
      </c>
    </row>
    <row r="377" spans="1:11" ht="15.75">
      <c r="A377" s="2" t="s">
        <v>13</v>
      </c>
      <c r="B377" s="2"/>
      <c r="C377" s="2"/>
      <c r="D377" s="2"/>
      <c r="E377" s="11">
        <f t="shared" ref="E377:K377" si="30">SUM(E347:E376)</f>
        <v>6700</v>
      </c>
      <c r="F377" s="11">
        <f t="shared" si="30"/>
        <v>7800</v>
      </c>
      <c r="G377" s="11">
        <f t="shared" si="30"/>
        <v>66000</v>
      </c>
      <c r="H377" s="11">
        <f t="shared" si="30"/>
        <v>80500</v>
      </c>
      <c r="I377" s="11">
        <f t="shared" si="30"/>
        <v>860455</v>
      </c>
      <c r="J377" s="11">
        <f t="shared" si="30"/>
        <v>940955</v>
      </c>
      <c r="K377" s="11">
        <f t="shared" si="30"/>
        <v>940663</v>
      </c>
    </row>
    <row r="378" spans="1:11" ht="15.75">
      <c r="A378" s="12"/>
      <c r="B378" s="2"/>
      <c r="C378" s="2"/>
      <c r="D378" s="2"/>
      <c r="E378" s="13">
        <f t="shared" ref="E378:K378" si="31">SUM(E377/11575)</f>
        <v>0.5788336933045356</v>
      </c>
      <c r="F378" s="13">
        <f t="shared" si="31"/>
        <v>0.67386609071274295</v>
      </c>
      <c r="G378" s="13">
        <f t="shared" si="31"/>
        <v>5.7019438444924404</v>
      </c>
      <c r="H378" s="13">
        <f t="shared" si="31"/>
        <v>6.9546436285097188</v>
      </c>
      <c r="I378" s="13">
        <f t="shared" si="31"/>
        <v>74.337365010799132</v>
      </c>
      <c r="J378" s="13">
        <f t="shared" si="31"/>
        <v>81.292008639308861</v>
      </c>
      <c r="K378" s="13">
        <f t="shared" si="31"/>
        <v>81.266781857451406</v>
      </c>
    </row>
    <row r="379" spans="1:11" ht="15.75">
      <c r="A379" s="1" t="s">
        <v>28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47.25">
      <c r="A380" s="2" t="s">
        <v>1</v>
      </c>
      <c r="B380" s="2" t="s">
        <v>2</v>
      </c>
      <c r="C380" s="3" t="s">
        <v>18</v>
      </c>
      <c r="D380" s="3" t="s">
        <v>4</v>
      </c>
      <c r="E380" s="3" t="s">
        <v>5</v>
      </c>
      <c r="F380" s="3" t="s">
        <v>6</v>
      </c>
      <c r="G380" s="3" t="s">
        <v>7</v>
      </c>
      <c r="H380" s="3" t="s">
        <v>8</v>
      </c>
      <c r="I380" s="3" t="s">
        <v>9</v>
      </c>
      <c r="J380" s="3" t="s">
        <v>19</v>
      </c>
      <c r="K380" s="4" t="s">
        <v>11</v>
      </c>
    </row>
    <row r="381" spans="1:11" ht="15.75">
      <c r="A381" s="5">
        <v>44531</v>
      </c>
      <c r="B381" s="6" t="s">
        <v>12</v>
      </c>
      <c r="C381" s="7">
        <v>13.99</v>
      </c>
      <c r="D381" s="7">
        <v>10.9</v>
      </c>
      <c r="E381" s="8">
        <v>0</v>
      </c>
      <c r="F381" s="8">
        <v>0</v>
      </c>
      <c r="G381" s="8">
        <v>1000</v>
      </c>
      <c r="H381" s="14">
        <f>E381+F381+G381</f>
        <v>1000</v>
      </c>
      <c r="I381" s="9">
        <v>22924</v>
      </c>
      <c r="J381" s="9">
        <v>23924</v>
      </c>
      <c r="K381" s="10">
        <v>24309</v>
      </c>
    </row>
    <row r="382" spans="1:11" ht="15.75">
      <c r="A382" s="5">
        <v>44532</v>
      </c>
      <c r="B382" s="6" t="s">
        <v>12</v>
      </c>
      <c r="C382" s="7">
        <v>13.99</v>
      </c>
      <c r="D382" s="7">
        <v>10.9</v>
      </c>
      <c r="E382" s="8">
        <v>0</v>
      </c>
      <c r="F382" s="6">
        <v>0</v>
      </c>
      <c r="G382" s="8">
        <v>0</v>
      </c>
      <c r="H382" s="9">
        <f t="shared" ref="H382:H411" si="32">E382+F382+G382</f>
        <v>0</v>
      </c>
      <c r="I382" s="9">
        <v>31047</v>
      </c>
      <c r="J382" s="9">
        <v>31047</v>
      </c>
      <c r="K382" s="10">
        <v>31047</v>
      </c>
    </row>
    <row r="383" spans="1:11" ht="15.75">
      <c r="A383" s="5">
        <v>44533</v>
      </c>
      <c r="B383" s="6" t="s">
        <v>12</v>
      </c>
      <c r="C383" s="7">
        <v>13.99</v>
      </c>
      <c r="D383" s="7">
        <v>10.9</v>
      </c>
      <c r="E383" s="8">
        <v>0</v>
      </c>
      <c r="F383" s="6">
        <v>0</v>
      </c>
      <c r="G383" s="8">
        <v>0</v>
      </c>
      <c r="H383" s="9">
        <f t="shared" si="32"/>
        <v>0</v>
      </c>
      <c r="I383" s="9">
        <v>20219</v>
      </c>
      <c r="J383" s="9">
        <v>20219</v>
      </c>
      <c r="K383" s="10">
        <v>20219</v>
      </c>
    </row>
    <row r="384" spans="1:11" ht="15.75">
      <c r="A384" s="5">
        <v>44534</v>
      </c>
      <c r="B384" s="6" t="s">
        <v>12</v>
      </c>
      <c r="C384" s="7">
        <v>13.96</v>
      </c>
      <c r="D384" s="7">
        <v>10.9</v>
      </c>
      <c r="E384" s="8">
        <v>0</v>
      </c>
      <c r="F384" s="6">
        <v>0</v>
      </c>
      <c r="G384" s="8">
        <v>1000</v>
      </c>
      <c r="H384" s="9">
        <f t="shared" si="32"/>
        <v>1000</v>
      </c>
      <c r="I384" s="9">
        <v>17451</v>
      </c>
      <c r="J384" s="9">
        <v>18451</v>
      </c>
      <c r="K384" s="10">
        <v>18219</v>
      </c>
    </row>
    <row r="385" spans="1:11" ht="15.75">
      <c r="A385" s="5">
        <v>44535</v>
      </c>
      <c r="B385" s="6" t="s">
        <v>12</v>
      </c>
      <c r="C385" s="7">
        <v>13.93</v>
      </c>
      <c r="D385" s="7">
        <v>10.9</v>
      </c>
      <c r="E385" s="8">
        <v>0</v>
      </c>
      <c r="F385" s="6">
        <v>500</v>
      </c>
      <c r="G385" s="8">
        <v>1500</v>
      </c>
      <c r="H385" s="9">
        <f t="shared" si="32"/>
        <v>2000</v>
      </c>
      <c r="I385" s="9">
        <v>13648</v>
      </c>
      <c r="J385" s="9">
        <v>15648</v>
      </c>
      <c r="K385" s="9">
        <v>15416</v>
      </c>
    </row>
    <row r="386" spans="1:11" ht="15.75">
      <c r="A386" s="5">
        <v>44536</v>
      </c>
      <c r="B386" s="6" t="s">
        <v>12</v>
      </c>
      <c r="C386" s="7">
        <v>13.99</v>
      </c>
      <c r="D386" s="7">
        <v>10.9</v>
      </c>
      <c r="E386" s="8">
        <v>0</v>
      </c>
      <c r="F386" s="6">
        <v>500</v>
      </c>
      <c r="G386" s="8">
        <v>1500</v>
      </c>
      <c r="H386" s="9">
        <f t="shared" si="32"/>
        <v>2000</v>
      </c>
      <c r="I386" s="9">
        <v>13395</v>
      </c>
      <c r="J386" s="9">
        <v>15395</v>
      </c>
      <c r="K386" s="10">
        <v>15858</v>
      </c>
    </row>
    <row r="387" spans="1:11" ht="15.75">
      <c r="A387" s="5">
        <v>44537</v>
      </c>
      <c r="B387" s="6" t="s">
        <v>12</v>
      </c>
      <c r="C387" s="7">
        <v>13.99</v>
      </c>
      <c r="D387" s="7">
        <v>10.9</v>
      </c>
      <c r="E387" s="8">
        <v>0</v>
      </c>
      <c r="F387" s="6">
        <v>500</v>
      </c>
      <c r="G387" s="8">
        <v>1500</v>
      </c>
      <c r="H387" s="9">
        <f t="shared" si="32"/>
        <v>2000</v>
      </c>
      <c r="I387" s="9">
        <v>15238</v>
      </c>
      <c r="J387" s="9">
        <v>17238</v>
      </c>
      <c r="K387" s="10">
        <v>17238</v>
      </c>
    </row>
    <row r="388" spans="1:11" ht="15.75">
      <c r="A388" s="5">
        <v>44538</v>
      </c>
      <c r="B388" s="6" t="s">
        <v>12</v>
      </c>
      <c r="C388" s="7">
        <v>13.99</v>
      </c>
      <c r="D388" s="7">
        <v>10.9</v>
      </c>
      <c r="E388" s="8">
        <v>300</v>
      </c>
      <c r="F388" s="6">
        <v>500</v>
      </c>
      <c r="G388" s="8">
        <v>1500</v>
      </c>
      <c r="H388" s="9">
        <f t="shared" si="32"/>
        <v>2300</v>
      </c>
      <c r="I388" s="9">
        <v>11426</v>
      </c>
      <c r="J388" s="9">
        <v>13726</v>
      </c>
      <c r="K388" s="10">
        <v>13726</v>
      </c>
    </row>
    <row r="389" spans="1:11" ht="15.75">
      <c r="A389" s="5">
        <v>44539</v>
      </c>
      <c r="B389" s="6" t="s">
        <v>12</v>
      </c>
      <c r="C389" s="7">
        <v>13.96</v>
      </c>
      <c r="D389" s="15" t="s">
        <v>29</v>
      </c>
      <c r="E389" s="8">
        <v>800</v>
      </c>
      <c r="F389" s="6">
        <v>500</v>
      </c>
      <c r="G389" s="8">
        <v>1500</v>
      </c>
      <c r="H389" s="9">
        <f t="shared" si="32"/>
        <v>2800</v>
      </c>
      <c r="I389" s="9">
        <v>6625</v>
      </c>
      <c r="J389" s="9">
        <v>9425</v>
      </c>
      <c r="K389" s="10">
        <v>9193</v>
      </c>
    </row>
    <row r="390" spans="1:11" ht="15.75">
      <c r="A390" s="5">
        <v>44540</v>
      </c>
      <c r="B390" s="6" t="s">
        <v>12</v>
      </c>
      <c r="C390" s="7">
        <v>13.99</v>
      </c>
      <c r="D390" s="7">
        <v>10.9</v>
      </c>
      <c r="E390" s="8">
        <v>500</v>
      </c>
      <c r="F390" s="6">
        <v>500</v>
      </c>
      <c r="G390" s="8">
        <v>1500</v>
      </c>
      <c r="H390" s="9">
        <f t="shared" si="32"/>
        <v>2500</v>
      </c>
      <c r="I390" s="9">
        <v>12320</v>
      </c>
      <c r="J390" s="10">
        <v>14820</v>
      </c>
      <c r="K390">
        <v>15052</v>
      </c>
    </row>
    <row r="391" spans="1:11" ht="15.75">
      <c r="A391" s="5">
        <v>44541</v>
      </c>
      <c r="B391" s="6" t="s">
        <v>12</v>
      </c>
      <c r="C391" s="7">
        <v>13.92</v>
      </c>
      <c r="D391" s="15" t="s">
        <v>30</v>
      </c>
      <c r="E391" s="8">
        <v>500</v>
      </c>
      <c r="F391" s="6">
        <v>500</v>
      </c>
      <c r="G391" s="8">
        <v>1500</v>
      </c>
      <c r="H391" s="9">
        <f t="shared" si="32"/>
        <v>2500</v>
      </c>
      <c r="I391" s="9">
        <v>9315</v>
      </c>
      <c r="J391" s="9">
        <v>11815</v>
      </c>
      <c r="K391" s="10">
        <v>11198</v>
      </c>
    </row>
    <row r="392" spans="1:11" ht="15.75">
      <c r="A392" s="5">
        <v>44542</v>
      </c>
      <c r="B392" s="6" t="s">
        <v>12</v>
      </c>
      <c r="C392" s="7">
        <v>13.99</v>
      </c>
      <c r="D392" s="7">
        <v>10.9</v>
      </c>
      <c r="E392" s="8">
        <v>500</v>
      </c>
      <c r="F392" s="6">
        <v>500</v>
      </c>
      <c r="G392" s="8">
        <v>500</v>
      </c>
      <c r="H392" s="9">
        <f t="shared" si="32"/>
        <v>1500</v>
      </c>
      <c r="I392" s="9">
        <v>5741</v>
      </c>
      <c r="J392" s="9">
        <v>7241</v>
      </c>
      <c r="K392" s="10">
        <v>7858</v>
      </c>
    </row>
    <row r="393" spans="1:11" ht="15.75">
      <c r="A393" s="5">
        <v>44543</v>
      </c>
      <c r="B393" s="6" t="s">
        <v>12</v>
      </c>
      <c r="C393" s="7">
        <v>13.99</v>
      </c>
      <c r="D393" s="7">
        <v>10.9</v>
      </c>
      <c r="E393" s="8">
        <v>500</v>
      </c>
      <c r="F393" s="6">
        <v>500</v>
      </c>
      <c r="G393" s="8">
        <v>500</v>
      </c>
      <c r="H393" s="9">
        <f t="shared" si="32"/>
        <v>1500</v>
      </c>
      <c r="I393" s="9">
        <v>10173</v>
      </c>
      <c r="J393" s="9">
        <v>11673</v>
      </c>
      <c r="K393" s="10">
        <v>11673</v>
      </c>
    </row>
    <row r="394" spans="1:11" ht="15.75">
      <c r="A394" s="5">
        <v>44544</v>
      </c>
      <c r="B394" s="6" t="s">
        <v>12</v>
      </c>
      <c r="C394" s="7">
        <v>13.95</v>
      </c>
      <c r="D394" s="7">
        <v>10.75</v>
      </c>
      <c r="E394" s="8">
        <v>500</v>
      </c>
      <c r="F394" s="6">
        <v>500</v>
      </c>
      <c r="G394" s="6">
        <v>500</v>
      </c>
      <c r="H394" s="9">
        <f t="shared" si="32"/>
        <v>1500</v>
      </c>
      <c r="I394" s="9">
        <v>6950</v>
      </c>
      <c r="J394" s="9">
        <v>8450</v>
      </c>
      <c r="K394" s="10">
        <v>8065</v>
      </c>
    </row>
    <row r="395" spans="1:11" ht="15.75">
      <c r="A395" s="5">
        <v>44545</v>
      </c>
      <c r="B395" s="6" t="s">
        <v>12</v>
      </c>
      <c r="C395" s="7">
        <v>13.93</v>
      </c>
      <c r="D395" s="7">
        <v>10.7</v>
      </c>
      <c r="E395" s="8">
        <v>500</v>
      </c>
      <c r="F395" s="6">
        <v>500</v>
      </c>
      <c r="G395" s="6">
        <v>3500</v>
      </c>
      <c r="H395" s="9">
        <f t="shared" si="32"/>
        <v>4500</v>
      </c>
      <c r="I395" s="9">
        <v>3138</v>
      </c>
      <c r="J395" s="9">
        <v>7638</v>
      </c>
      <c r="K395" s="10">
        <v>7560</v>
      </c>
    </row>
    <row r="396" spans="1:11" ht="15.75">
      <c r="A396" s="5">
        <v>44546</v>
      </c>
      <c r="B396" s="6" t="s">
        <v>12</v>
      </c>
      <c r="C396" s="7">
        <v>13.99</v>
      </c>
      <c r="D396" s="7">
        <v>10.9</v>
      </c>
      <c r="E396" s="8">
        <v>500</v>
      </c>
      <c r="F396" s="6">
        <v>800</v>
      </c>
      <c r="G396" s="6">
        <v>5000</v>
      </c>
      <c r="H396" s="9">
        <f t="shared" si="32"/>
        <v>6300</v>
      </c>
      <c r="I396" s="9">
        <v>4769</v>
      </c>
      <c r="J396" s="9">
        <v>11069</v>
      </c>
      <c r="K396" s="10">
        <v>11532</v>
      </c>
    </row>
    <row r="397" spans="1:11" ht="15.75">
      <c r="A397" s="5">
        <v>44547</v>
      </c>
      <c r="B397" s="6" t="s">
        <v>12</v>
      </c>
      <c r="C397" s="7">
        <v>13.99</v>
      </c>
      <c r="D397" s="7">
        <v>10.9</v>
      </c>
      <c r="E397" s="8">
        <v>2000</v>
      </c>
      <c r="F397" s="6">
        <v>1100</v>
      </c>
      <c r="G397" s="6">
        <v>5000</v>
      </c>
      <c r="H397" s="9">
        <f t="shared" si="32"/>
        <v>8100</v>
      </c>
      <c r="I397" s="9">
        <v>638</v>
      </c>
      <c r="J397" s="9">
        <v>8738</v>
      </c>
      <c r="K397" s="10">
        <v>8738</v>
      </c>
    </row>
    <row r="398" spans="1:11" ht="15.75">
      <c r="A398" s="5">
        <v>44548</v>
      </c>
      <c r="B398" s="6" t="s">
        <v>12</v>
      </c>
      <c r="C398" s="7">
        <v>13.99</v>
      </c>
      <c r="D398" s="7">
        <v>10.9</v>
      </c>
      <c r="E398" s="8">
        <v>3000</v>
      </c>
      <c r="F398" s="6">
        <v>1700</v>
      </c>
      <c r="G398" s="6">
        <v>5000</v>
      </c>
      <c r="H398" s="9">
        <f t="shared" si="32"/>
        <v>9700</v>
      </c>
      <c r="I398" s="9">
        <v>640</v>
      </c>
      <c r="J398" s="9">
        <v>10340</v>
      </c>
      <c r="K398" s="10">
        <v>10340</v>
      </c>
    </row>
    <row r="399" spans="1:11" ht="15.75">
      <c r="A399" s="5">
        <v>44549</v>
      </c>
      <c r="B399" s="6" t="s">
        <v>12</v>
      </c>
      <c r="C399" s="7">
        <v>13.99</v>
      </c>
      <c r="D399" s="7">
        <v>10.9</v>
      </c>
      <c r="E399" s="8">
        <v>3000</v>
      </c>
      <c r="F399" s="6">
        <v>1700</v>
      </c>
      <c r="G399" s="6">
        <v>5000</v>
      </c>
      <c r="H399" s="9">
        <f t="shared" si="32"/>
        <v>9700</v>
      </c>
      <c r="I399" s="9">
        <v>640</v>
      </c>
      <c r="J399" s="9">
        <v>10340</v>
      </c>
      <c r="K399" s="10">
        <v>10340</v>
      </c>
    </row>
    <row r="400" spans="1:11" ht="15.75">
      <c r="A400" s="5">
        <v>44550</v>
      </c>
      <c r="B400" s="6" t="s">
        <v>12</v>
      </c>
      <c r="C400" s="7">
        <v>13.99</v>
      </c>
      <c r="D400" s="7">
        <v>10.9</v>
      </c>
      <c r="E400" s="8">
        <v>3000</v>
      </c>
      <c r="F400" s="6">
        <v>1700</v>
      </c>
      <c r="G400" s="6">
        <v>6000</v>
      </c>
      <c r="H400" s="9">
        <f t="shared" si="32"/>
        <v>10700</v>
      </c>
      <c r="I400" s="9">
        <v>0</v>
      </c>
      <c r="J400" s="9">
        <v>10700</v>
      </c>
      <c r="K400" s="10">
        <v>10700</v>
      </c>
    </row>
    <row r="401" spans="1:11" ht="15.75">
      <c r="A401" s="5">
        <v>44551</v>
      </c>
      <c r="B401" s="6" t="s">
        <v>12</v>
      </c>
      <c r="C401" s="7">
        <v>13.99</v>
      </c>
      <c r="D401" s="7">
        <v>10.9</v>
      </c>
      <c r="E401" s="8">
        <v>3000</v>
      </c>
      <c r="F401" s="6">
        <v>2000</v>
      </c>
      <c r="G401" s="6">
        <v>6000</v>
      </c>
      <c r="H401" s="9">
        <f t="shared" si="32"/>
        <v>11000</v>
      </c>
      <c r="I401" s="9">
        <v>0</v>
      </c>
      <c r="J401" s="9">
        <v>11000</v>
      </c>
      <c r="K401" s="10">
        <v>11000</v>
      </c>
    </row>
    <row r="402" spans="1:11" ht="15.75">
      <c r="A402" s="5">
        <v>44552</v>
      </c>
      <c r="B402" s="6" t="s">
        <v>12</v>
      </c>
      <c r="C402" s="7">
        <v>13.99</v>
      </c>
      <c r="D402" s="7">
        <v>10.9</v>
      </c>
      <c r="E402" s="8">
        <v>3000</v>
      </c>
      <c r="F402" s="6">
        <v>2000</v>
      </c>
      <c r="G402" s="6">
        <v>5000</v>
      </c>
      <c r="H402" s="9">
        <f t="shared" si="32"/>
        <v>10000</v>
      </c>
      <c r="I402" s="9">
        <v>0</v>
      </c>
      <c r="J402" s="9">
        <v>10000</v>
      </c>
      <c r="K402" s="10">
        <v>10000</v>
      </c>
    </row>
    <row r="403" spans="1:11" ht="15.75">
      <c r="A403" s="5">
        <v>44553</v>
      </c>
      <c r="B403" s="6" t="s">
        <v>12</v>
      </c>
      <c r="C403" s="7">
        <v>13.99</v>
      </c>
      <c r="D403" s="7">
        <v>10.9</v>
      </c>
      <c r="E403" s="8">
        <v>3500</v>
      </c>
      <c r="F403" s="6">
        <v>2000</v>
      </c>
      <c r="G403" s="6">
        <v>6000</v>
      </c>
      <c r="H403" s="9">
        <f t="shared" si="32"/>
        <v>11500</v>
      </c>
      <c r="I403" s="9">
        <v>0</v>
      </c>
      <c r="J403" s="9">
        <v>11500</v>
      </c>
      <c r="K403" s="10">
        <v>11500</v>
      </c>
    </row>
    <row r="404" spans="1:11" ht="15.75">
      <c r="A404" s="5">
        <v>44554</v>
      </c>
      <c r="B404" s="6" t="s">
        <v>12</v>
      </c>
      <c r="C404" s="7">
        <v>13.99</v>
      </c>
      <c r="D404" s="7">
        <v>10.9</v>
      </c>
      <c r="E404" s="8">
        <v>4000</v>
      </c>
      <c r="F404" s="6">
        <v>2000</v>
      </c>
      <c r="G404" s="6">
        <v>6000</v>
      </c>
      <c r="H404" s="9">
        <f t="shared" si="32"/>
        <v>12000</v>
      </c>
      <c r="I404" s="9">
        <v>0</v>
      </c>
      <c r="J404" s="9">
        <v>12000</v>
      </c>
      <c r="K404" s="10">
        <v>12000</v>
      </c>
    </row>
    <row r="405" spans="1:11" ht="15.75">
      <c r="A405" s="5">
        <v>44555</v>
      </c>
      <c r="B405" s="6" t="s">
        <v>12</v>
      </c>
      <c r="C405" s="7">
        <v>13.9</v>
      </c>
      <c r="D405" s="7">
        <v>10.6</v>
      </c>
      <c r="E405" s="8">
        <v>4000</v>
      </c>
      <c r="F405" s="6">
        <v>2000</v>
      </c>
      <c r="G405" s="6">
        <v>6000</v>
      </c>
      <c r="H405" s="9">
        <f t="shared" si="32"/>
        <v>12000</v>
      </c>
      <c r="I405" s="9">
        <v>0</v>
      </c>
      <c r="J405" s="9">
        <v>12000</v>
      </c>
      <c r="K405" s="10">
        <v>11305</v>
      </c>
    </row>
    <row r="406" spans="1:11" ht="15.75">
      <c r="A406" s="5">
        <v>44556</v>
      </c>
      <c r="B406" s="6" t="s">
        <v>12</v>
      </c>
      <c r="C406" s="7">
        <v>13.82</v>
      </c>
      <c r="D406" s="7">
        <v>10.35</v>
      </c>
      <c r="E406" s="8">
        <v>4000</v>
      </c>
      <c r="F406" s="6">
        <v>2000</v>
      </c>
      <c r="G406" s="6">
        <v>6000</v>
      </c>
      <c r="H406" s="9">
        <f t="shared" si="32"/>
        <v>12000</v>
      </c>
      <c r="I406" s="9">
        <v>0</v>
      </c>
      <c r="J406" s="9">
        <v>12000</v>
      </c>
      <c r="K406" s="10">
        <v>11383</v>
      </c>
    </row>
    <row r="407" spans="1:11" ht="15.75">
      <c r="A407" s="5">
        <v>44557</v>
      </c>
      <c r="B407" s="6" t="s">
        <v>12</v>
      </c>
      <c r="C407" s="7">
        <v>13.78</v>
      </c>
      <c r="D407" s="7">
        <v>10.199999999999999</v>
      </c>
      <c r="E407" s="8">
        <v>3300</v>
      </c>
      <c r="F407" s="6">
        <v>1700</v>
      </c>
      <c r="G407" s="6">
        <v>5000</v>
      </c>
      <c r="H407" s="9">
        <f t="shared" si="32"/>
        <v>10000</v>
      </c>
      <c r="I407" s="9">
        <v>0</v>
      </c>
      <c r="J407" s="9">
        <v>10000</v>
      </c>
      <c r="K407" s="9">
        <v>9691</v>
      </c>
    </row>
    <row r="408" spans="1:11" ht="15.75">
      <c r="A408" s="5">
        <v>44558</v>
      </c>
      <c r="B408" s="6" t="s">
        <v>12</v>
      </c>
      <c r="C408" s="7">
        <v>13.75</v>
      </c>
      <c r="D408" s="7">
        <v>10.1</v>
      </c>
      <c r="E408" s="8">
        <v>2650</v>
      </c>
      <c r="F408" s="6">
        <v>1700</v>
      </c>
      <c r="G408" s="6">
        <v>4600</v>
      </c>
      <c r="H408" s="9">
        <f t="shared" si="32"/>
        <v>8950</v>
      </c>
      <c r="I408" s="9">
        <v>0</v>
      </c>
      <c r="J408" s="9">
        <v>8950</v>
      </c>
      <c r="K408" s="9">
        <v>8718</v>
      </c>
    </row>
    <row r="409" spans="1:11" ht="15.75">
      <c r="A409" s="5">
        <v>44559</v>
      </c>
      <c r="B409" s="6" t="s">
        <v>12</v>
      </c>
      <c r="C409" s="7">
        <v>13.7</v>
      </c>
      <c r="D409" s="7">
        <v>9.9499999999999993</v>
      </c>
      <c r="E409" s="8">
        <v>2850</v>
      </c>
      <c r="F409" s="6">
        <v>1500</v>
      </c>
      <c r="G409" s="6">
        <v>4600</v>
      </c>
      <c r="H409" s="9">
        <f t="shared" si="32"/>
        <v>8950</v>
      </c>
      <c r="I409" s="9">
        <v>0</v>
      </c>
      <c r="J409" s="9">
        <v>8950</v>
      </c>
      <c r="K409" s="9">
        <v>8565</v>
      </c>
    </row>
    <row r="410" spans="1:11" ht="15.75">
      <c r="A410" s="5">
        <v>44560</v>
      </c>
      <c r="B410" s="6" t="s">
        <v>12</v>
      </c>
      <c r="C410" s="7">
        <v>13.64</v>
      </c>
      <c r="D410" s="7">
        <v>9.75</v>
      </c>
      <c r="E410" s="8">
        <v>2850</v>
      </c>
      <c r="F410" s="6">
        <v>1500</v>
      </c>
      <c r="G410" s="6">
        <v>4600</v>
      </c>
      <c r="H410" s="9">
        <f t="shared" si="32"/>
        <v>8950</v>
      </c>
      <c r="I410" s="9">
        <v>0</v>
      </c>
      <c r="J410" s="9">
        <v>8950</v>
      </c>
      <c r="K410" s="9">
        <v>8487</v>
      </c>
    </row>
    <row r="411" spans="1:11" ht="15.75">
      <c r="A411" s="5">
        <v>44561</v>
      </c>
      <c r="B411" s="6" t="s">
        <v>12</v>
      </c>
      <c r="C411" s="7">
        <v>13.57</v>
      </c>
      <c r="D411" s="7">
        <v>9.5</v>
      </c>
      <c r="E411" s="8">
        <v>2750</v>
      </c>
      <c r="F411" s="6">
        <v>1700</v>
      </c>
      <c r="G411" s="6">
        <v>4600</v>
      </c>
      <c r="H411" s="9">
        <f t="shared" si="32"/>
        <v>9050</v>
      </c>
      <c r="I411" s="9">
        <v>0</v>
      </c>
      <c r="J411" s="9">
        <v>9050</v>
      </c>
      <c r="K411" s="9">
        <v>8509</v>
      </c>
    </row>
    <row r="412" spans="1:11" ht="15.75">
      <c r="A412" s="2" t="s">
        <v>13</v>
      </c>
      <c r="B412" s="2"/>
      <c r="C412" s="2"/>
      <c r="D412" s="2"/>
      <c r="E412" s="11">
        <f t="shared" ref="E412:K412" si="33">SUM(E381:E411)</f>
        <v>51500</v>
      </c>
      <c r="F412" s="11">
        <f t="shared" si="33"/>
        <v>32600</v>
      </c>
      <c r="G412" s="11">
        <f t="shared" si="33"/>
        <v>101900</v>
      </c>
      <c r="H412" s="11">
        <f t="shared" si="33"/>
        <v>186000</v>
      </c>
      <c r="I412" s="11">
        <f t="shared" si="33"/>
        <v>206297</v>
      </c>
      <c r="J412" s="11">
        <f t="shared" si="33"/>
        <v>392297</v>
      </c>
      <c r="K412" s="11">
        <f t="shared" si="33"/>
        <v>389439</v>
      </c>
    </row>
    <row r="413" spans="1:11" ht="15.75">
      <c r="A413" s="12"/>
      <c r="B413" s="2"/>
      <c r="C413" s="2"/>
      <c r="D413" s="2"/>
      <c r="E413" s="13">
        <f t="shared" ref="E413:K413" si="34">SUM(E412/11575)</f>
        <v>4.449244060475162</v>
      </c>
      <c r="F413" s="13">
        <f t="shared" si="34"/>
        <v>2.8164146868250541</v>
      </c>
      <c r="G413" s="13">
        <f t="shared" si="34"/>
        <v>8.8034557235421165</v>
      </c>
      <c r="H413" s="13">
        <f t="shared" si="34"/>
        <v>16.069114470842333</v>
      </c>
      <c r="I413" s="13">
        <f t="shared" si="34"/>
        <v>17.822634989200864</v>
      </c>
      <c r="J413" s="13">
        <f t="shared" si="34"/>
        <v>33.891749460043194</v>
      </c>
      <c r="K413" s="13">
        <f t="shared" si="34"/>
        <v>33.644838012958964</v>
      </c>
    </row>
    <row r="414" spans="1:11" ht="15.75">
      <c r="A414" s="1" t="s">
        <v>31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47.25">
      <c r="A415" s="2" t="s">
        <v>1</v>
      </c>
      <c r="B415" s="2" t="s">
        <v>2</v>
      </c>
      <c r="C415" s="3" t="s">
        <v>18</v>
      </c>
      <c r="D415" s="3" t="s">
        <v>4</v>
      </c>
      <c r="E415" s="3" t="s">
        <v>5</v>
      </c>
      <c r="F415" s="3" t="s">
        <v>6</v>
      </c>
      <c r="G415" s="3" t="s">
        <v>7</v>
      </c>
      <c r="H415" s="3" t="s">
        <v>8</v>
      </c>
      <c r="I415" s="3" t="s">
        <v>9</v>
      </c>
      <c r="J415" s="3" t="s">
        <v>19</v>
      </c>
      <c r="K415" s="4" t="s">
        <v>11</v>
      </c>
    </row>
    <row r="416" spans="1:11" ht="15.75">
      <c r="A416" s="5">
        <v>44562</v>
      </c>
      <c r="B416" s="6" t="s">
        <v>12</v>
      </c>
      <c r="C416" s="7">
        <v>13.47</v>
      </c>
      <c r="D416" s="7">
        <v>9.1999999999999993</v>
      </c>
      <c r="E416" s="8">
        <v>2750</v>
      </c>
      <c r="F416" s="8">
        <v>1700</v>
      </c>
      <c r="G416" s="8">
        <v>4800</v>
      </c>
      <c r="H416" s="14">
        <f>E416+F416+G416</f>
        <v>9250</v>
      </c>
      <c r="I416" s="9">
        <v>0</v>
      </c>
      <c r="J416" s="9">
        <v>9250</v>
      </c>
      <c r="K416" s="10">
        <v>8479</v>
      </c>
    </row>
    <row r="417" spans="1:11" ht="15.75">
      <c r="A417" s="5">
        <v>44563</v>
      </c>
      <c r="B417" s="6" t="s">
        <v>12</v>
      </c>
      <c r="C417" s="7">
        <v>13.35</v>
      </c>
      <c r="D417" s="7">
        <v>8.8000000000000007</v>
      </c>
      <c r="E417" s="8">
        <v>2750</v>
      </c>
      <c r="F417" s="6">
        <v>1700</v>
      </c>
      <c r="G417" s="8">
        <v>4800</v>
      </c>
      <c r="H417" s="9">
        <f t="shared" ref="H417:H446" si="35">E417+F417+G417</f>
        <v>9250</v>
      </c>
      <c r="I417" s="9">
        <v>0</v>
      </c>
      <c r="J417" s="9">
        <v>9250</v>
      </c>
      <c r="K417" s="10">
        <v>8323</v>
      </c>
    </row>
    <row r="418" spans="1:11" ht="15.75">
      <c r="A418" s="5">
        <v>44564</v>
      </c>
      <c r="B418" s="6" t="s">
        <v>12</v>
      </c>
      <c r="C418" s="7">
        <v>13.23</v>
      </c>
      <c r="D418" s="7">
        <v>8.4</v>
      </c>
      <c r="E418" s="8">
        <v>2750</v>
      </c>
      <c r="F418" s="6">
        <v>1700</v>
      </c>
      <c r="G418" s="8">
        <v>4600</v>
      </c>
      <c r="H418" s="9">
        <f t="shared" si="35"/>
        <v>9050</v>
      </c>
      <c r="I418" s="9">
        <v>0</v>
      </c>
      <c r="J418" s="9">
        <v>9050</v>
      </c>
      <c r="K418" s="10">
        <v>8139</v>
      </c>
    </row>
    <row r="419" spans="1:11" ht="15.75">
      <c r="A419" s="5">
        <v>44565</v>
      </c>
      <c r="B419" s="6" t="s">
        <v>12</v>
      </c>
      <c r="C419" s="7">
        <v>13.11</v>
      </c>
      <c r="D419" s="7">
        <v>8</v>
      </c>
      <c r="E419" s="8">
        <v>2750</v>
      </c>
      <c r="F419" s="6">
        <v>1900</v>
      </c>
      <c r="G419" s="8">
        <v>4600</v>
      </c>
      <c r="H419" s="9">
        <f t="shared" si="35"/>
        <v>9250</v>
      </c>
      <c r="I419" s="9">
        <v>0</v>
      </c>
      <c r="J419" s="9">
        <v>9250</v>
      </c>
      <c r="K419" s="10">
        <v>8339</v>
      </c>
    </row>
    <row r="420" spans="1:11" ht="15.75">
      <c r="A420" s="5">
        <v>44566</v>
      </c>
      <c r="B420" s="6" t="s">
        <v>12</v>
      </c>
      <c r="C420" s="7">
        <v>12.97</v>
      </c>
      <c r="D420" s="7">
        <v>7.55</v>
      </c>
      <c r="E420" s="8">
        <v>3000</v>
      </c>
      <c r="F420" s="6">
        <v>1900</v>
      </c>
      <c r="G420" s="8">
        <v>4600</v>
      </c>
      <c r="H420" s="9">
        <f t="shared" si="35"/>
        <v>9500</v>
      </c>
      <c r="I420" s="9">
        <v>0</v>
      </c>
      <c r="J420" s="9">
        <v>9500</v>
      </c>
      <c r="K420" s="9">
        <v>8447</v>
      </c>
    </row>
    <row r="421" spans="1:11" ht="15.75">
      <c r="A421" s="5">
        <v>44567</v>
      </c>
      <c r="B421" s="6" t="s">
        <v>12</v>
      </c>
      <c r="C421" s="7">
        <v>12.82</v>
      </c>
      <c r="D421" s="7">
        <v>7.05</v>
      </c>
      <c r="E421" s="8">
        <v>3000</v>
      </c>
      <c r="F421" s="6">
        <v>1900</v>
      </c>
      <c r="G421" s="8">
        <v>4600</v>
      </c>
      <c r="H421" s="9">
        <f t="shared" si="35"/>
        <v>9500</v>
      </c>
      <c r="I421" s="9">
        <v>0</v>
      </c>
      <c r="J421" s="9">
        <v>9500</v>
      </c>
      <c r="K421" s="10">
        <v>8381</v>
      </c>
    </row>
    <row r="422" spans="1:11" ht="15.75">
      <c r="A422" s="5">
        <v>44568</v>
      </c>
      <c r="B422" s="6" t="s">
        <v>12</v>
      </c>
      <c r="C422" s="7">
        <v>12.65</v>
      </c>
      <c r="D422" s="7">
        <v>6.5</v>
      </c>
      <c r="E422" s="8">
        <v>2800</v>
      </c>
      <c r="F422" s="6">
        <v>1750</v>
      </c>
      <c r="G422" s="8">
        <v>5000</v>
      </c>
      <c r="H422" s="9">
        <f t="shared" si="35"/>
        <v>9550</v>
      </c>
      <c r="I422" s="9">
        <v>0</v>
      </c>
      <c r="J422" s="9">
        <v>9550</v>
      </c>
      <c r="K422" s="10">
        <v>8292</v>
      </c>
    </row>
    <row r="423" spans="1:11" ht="15.75">
      <c r="A423" s="5">
        <v>44569</v>
      </c>
      <c r="B423" s="6" t="s">
        <v>12</v>
      </c>
      <c r="C423" s="7">
        <v>12.5</v>
      </c>
      <c r="D423" s="7">
        <v>6</v>
      </c>
      <c r="E423" s="8">
        <v>2470</v>
      </c>
      <c r="F423" s="6">
        <v>1610</v>
      </c>
      <c r="G423" s="8">
        <v>4300</v>
      </c>
      <c r="H423" s="9">
        <f t="shared" si="35"/>
        <v>8380</v>
      </c>
      <c r="I423" s="9">
        <v>0</v>
      </c>
      <c r="J423" s="9">
        <v>8380</v>
      </c>
      <c r="K423" s="10">
        <v>7279</v>
      </c>
    </row>
    <row r="424" spans="1:11" ht="15.75">
      <c r="A424" s="5">
        <v>44570</v>
      </c>
      <c r="B424" s="6" t="s">
        <v>12</v>
      </c>
      <c r="C424" s="7">
        <v>12.38</v>
      </c>
      <c r="D424" s="7">
        <v>5.6</v>
      </c>
      <c r="E424" s="8">
        <v>2200</v>
      </c>
      <c r="F424" s="6">
        <v>1430</v>
      </c>
      <c r="G424" s="8">
        <v>3830</v>
      </c>
      <c r="H424" s="9">
        <f t="shared" si="35"/>
        <v>7460</v>
      </c>
      <c r="I424" s="9">
        <v>0</v>
      </c>
      <c r="J424" s="9">
        <v>7460</v>
      </c>
      <c r="K424" s="10">
        <v>6595</v>
      </c>
    </row>
    <row r="425" spans="1:11" ht="15.75">
      <c r="A425" s="5">
        <v>44571</v>
      </c>
      <c r="B425" s="6" t="s">
        <v>12</v>
      </c>
      <c r="C425" s="7">
        <v>12.35</v>
      </c>
      <c r="D425" s="7">
        <v>5.5</v>
      </c>
      <c r="E425" s="8">
        <v>2200</v>
      </c>
      <c r="F425" s="6">
        <v>1430</v>
      </c>
      <c r="G425" s="8">
        <v>3830</v>
      </c>
      <c r="H425" s="9">
        <f t="shared" si="35"/>
        <v>7460</v>
      </c>
      <c r="I425" s="9">
        <v>0</v>
      </c>
      <c r="J425" s="10">
        <v>7460</v>
      </c>
      <c r="K425" s="16">
        <v>7248</v>
      </c>
    </row>
    <row r="426" spans="1:11" ht="15.75">
      <c r="A426" s="5">
        <v>44572</v>
      </c>
      <c r="B426" s="6" t="s">
        <v>12</v>
      </c>
      <c r="C426" s="7">
        <v>12.56</v>
      </c>
      <c r="D426" s="7">
        <v>6.2</v>
      </c>
      <c r="E426" s="8">
        <v>2650</v>
      </c>
      <c r="F426" s="6">
        <v>1720</v>
      </c>
      <c r="G426" s="8">
        <v>4600</v>
      </c>
      <c r="H426" s="9">
        <f t="shared" si="35"/>
        <v>8970</v>
      </c>
      <c r="I426" s="9">
        <v>0</v>
      </c>
      <c r="J426" s="9">
        <v>8970</v>
      </c>
      <c r="K426" s="10">
        <v>10927</v>
      </c>
    </row>
    <row r="427" spans="1:11" ht="15.75">
      <c r="A427" s="5">
        <v>44573</v>
      </c>
      <c r="B427" s="6" t="s">
        <v>12</v>
      </c>
      <c r="C427" s="7">
        <v>12.62</v>
      </c>
      <c r="D427" s="7">
        <v>6.4</v>
      </c>
      <c r="E427" s="8">
        <v>2875</v>
      </c>
      <c r="F427" s="8">
        <v>1870</v>
      </c>
      <c r="G427" s="6">
        <v>5000</v>
      </c>
      <c r="H427" s="9">
        <f t="shared" si="35"/>
        <v>9745</v>
      </c>
      <c r="I427" s="9">
        <v>0</v>
      </c>
      <c r="J427" s="9">
        <v>9745</v>
      </c>
      <c r="K427" s="10">
        <v>10185</v>
      </c>
    </row>
    <row r="428" spans="1:11" ht="15.75">
      <c r="A428" s="5">
        <v>44574</v>
      </c>
      <c r="B428" s="6" t="s">
        <v>12</v>
      </c>
      <c r="C428" s="7">
        <v>12.6</v>
      </c>
      <c r="D428" s="7">
        <v>6.35</v>
      </c>
      <c r="E428" s="8">
        <v>2875</v>
      </c>
      <c r="F428" s="6">
        <v>1870</v>
      </c>
      <c r="G428" s="8">
        <v>5000</v>
      </c>
      <c r="H428" s="9">
        <f t="shared" si="35"/>
        <v>9745</v>
      </c>
      <c r="I428" s="9">
        <v>0</v>
      </c>
      <c r="J428" s="9">
        <v>9745</v>
      </c>
      <c r="K428" s="10">
        <v>9598</v>
      </c>
    </row>
    <row r="429" spans="1:11" ht="15.75">
      <c r="A429" s="5">
        <v>44575</v>
      </c>
      <c r="B429" s="6" t="s">
        <v>12</v>
      </c>
      <c r="C429" s="7">
        <v>12.59</v>
      </c>
      <c r="D429" s="7">
        <v>6.3</v>
      </c>
      <c r="E429" s="8">
        <v>2000</v>
      </c>
      <c r="F429" s="6">
        <v>1720</v>
      </c>
      <c r="G429" s="6">
        <v>4600</v>
      </c>
      <c r="H429" s="9">
        <f t="shared" si="35"/>
        <v>8320</v>
      </c>
      <c r="I429" s="9">
        <v>0</v>
      </c>
      <c r="J429" s="9">
        <v>8320</v>
      </c>
      <c r="K429" s="10">
        <v>8247</v>
      </c>
    </row>
    <row r="430" spans="1:11" ht="15.75">
      <c r="A430" s="5">
        <v>44576</v>
      </c>
      <c r="B430" s="6" t="s">
        <v>12</v>
      </c>
      <c r="C430" s="7">
        <v>12.65</v>
      </c>
      <c r="D430" s="7">
        <v>6.5</v>
      </c>
      <c r="E430" s="8">
        <v>1700</v>
      </c>
      <c r="F430" s="6">
        <v>1560</v>
      </c>
      <c r="G430" s="6">
        <v>4180</v>
      </c>
      <c r="H430" s="9">
        <f t="shared" si="35"/>
        <v>7440</v>
      </c>
      <c r="I430" s="9">
        <v>0</v>
      </c>
      <c r="J430" s="9">
        <v>7440</v>
      </c>
      <c r="K430" s="10">
        <v>7880</v>
      </c>
    </row>
    <row r="431" spans="1:11" ht="15.75">
      <c r="A431" s="5">
        <v>44577</v>
      </c>
      <c r="B431" s="6" t="s">
        <v>12</v>
      </c>
      <c r="C431" s="7">
        <v>12.71</v>
      </c>
      <c r="D431" s="7">
        <v>6.7</v>
      </c>
      <c r="E431" s="8">
        <v>1700</v>
      </c>
      <c r="F431" s="6">
        <v>1560</v>
      </c>
      <c r="G431" s="6">
        <v>4180</v>
      </c>
      <c r="H431" s="9">
        <f t="shared" si="35"/>
        <v>7440</v>
      </c>
      <c r="I431" s="9">
        <v>0</v>
      </c>
      <c r="J431" s="9">
        <v>7440</v>
      </c>
      <c r="K431" s="10">
        <v>7881</v>
      </c>
    </row>
    <row r="432" spans="1:11" ht="15.75">
      <c r="A432" s="5">
        <v>44578</v>
      </c>
      <c r="B432" s="6" t="s">
        <v>12</v>
      </c>
      <c r="C432" s="7">
        <v>12.76</v>
      </c>
      <c r="D432" s="7">
        <v>6.85</v>
      </c>
      <c r="E432" s="8">
        <v>2200</v>
      </c>
      <c r="F432" s="6">
        <v>1720</v>
      </c>
      <c r="G432" s="6">
        <v>4600</v>
      </c>
      <c r="H432" s="9">
        <f t="shared" si="35"/>
        <v>8520</v>
      </c>
      <c r="I432" s="9">
        <v>0</v>
      </c>
      <c r="J432" s="9">
        <v>8520</v>
      </c>
      <c r="K432" s="10">
        <v>8889</v>
      </c>
    </row>
    <row r="433" spans="1:11" ht="15.75">
      <c r="A433" s="5">
        <v>44579</v>
      </c>
      <c r="B433" s="6" t="s">
        <v>12</v>
      </c>
      <c r="C433" s="7">
        <v>12.74</v>
      </c>
      <c r="D433" s="7">
        <v>6.8</v>
      </c>
      <c r="E433" s="8">
        <v>2400</v>
      </c>
      <c r="F433" s="6">
        <v>1720</v>
      </c>
      <c r="G433" s="6">
        <v>4600</v>
      </c>
      <c r="H433" s="9">
        <f t="shared" si="35"/>
        <v>8720</v>
      </c>
      <c r="I433" s="9">
        <v>0</v>
      </c>
      <c r="J433" s="9">
        <v>8720</v>
      </c>
      <c r="K433" s="10">
        <v>8571</v>
      </c>
    </row>
    <row r="434" spans="1:11" ht="15.75">
      <c r="A434" s="5">
        <v>44580</v>
      </c>
      <c r="B434" s="6" t="s">
        <v>12</v>
      </c>
      <c r="C434" s="7">
        <v>12.77</v>
      </c>
      <c r="D434" s="7">
        <v>6.9</v>
      </c>
      <c r="E434" s="8">
        <v>2640</v>
      </c>
      <c r="F434" s="6">
        <v>1800</v>
      </c>
      <c r="G434" s="6">
        <v>4800</v>
      </c>
      <c r="H434" s="9">
        <f t="shared" si="35"/>
        <v>9240</v>
      </c>
      <c r="I434" s="9">
        <v>0</v>
      </c>
      <c r="J434" s="9">
        <v>9240</v>
      </c>
      <c r="K434" s="10">
        <v>9463</v>
      </c>
    </row>
    <row r="435" spans="1:11" ht="15.75">
      <c r="A435" s="5">
        <v>44581</v>
      </c>
      <c r="B435" s="6" t="s">
        <v>12</v>
      </c>
      <c r="C435" s="7">
        <v>12.86</v>
      </c>
      <c r="D435" s="7">
        <v>7.2</v>
      </c>
      <c r="E435" s="8">
        <v>2640</v>
      </c>
      <c r="F435" s="6">
        <v>1800</v>
      </c>
      <c r="G435" s="6">
        <v>4800</v>
      </c>
      <c r="H435" s="9">
        <f t="shared" si="35"/>
        <v>9240</v>
      </c>
      <c r="I435" s="9">
        <v>0</v>
      </c>
      <c r="J435" s="9">
        <v>9240</v>
      </c>
      <c r="K435" s="10">
        <v>9913</v>
      </c>
    </row>
    <row r="436" spans="1:11" ht="15.75">
      <c r="A436" s="5">
        <v>44582</v>
      </c>
      <c r="B436" s="6" t="s">
        <v>12</v>
      </c>
      <c r="C436" s="7">
        <v>13.17</v>
      </c>
      <c r="D436" s="7">
        <v>8.1999999999999993</v>
      </c>
      <c r="E436" s="8">
        <v>3500</v>
      </c>
      <c r="F436" s="6">
        <v>2300</v>
      </c>
      <c r="G436" s="6">
        <v>6000</v>
      </c>
      <c r="H436" s="9">
        <f t="shared" si="35"/>
        <v>11800</v>
      </c>
      <c r="I436" s="9">
        <v>0</v>
      </c>
      <c r="J436" s="9">
        <v>11800</v>
      </c>
      <c r="K436" s="10">
        <v>14129</v>
      </c>
    </row>
    <row r="437" spans="1:11" ht="15.75">
      <c r="A437" s="5">
        <v>44583</v>
      </c>
      <c r="B437" s="6" t="s">
        <v>12</v>
      </c>
      <c r="C437" s="7">
        <v>13.57</v>
      </c>
      <c r="D437" s="7">
        <v>9.5</v>
      </c>
      <c r="E437" s="8">
        <v>3500</v>
      </c>
      <c r="F437" s="6">
        <v>2400</v>
      </c>
      <c r="G437" s="6">
        <v>7000</v>
      </c>
      <c r="H437" s="9">
        <f t="shared" si="35"/>
        <v>12900</v>
      </c>
      <c r="I437" s="9">
        <v>0</v>
      </c>
      <c r="J437" s="9">
        <v>12900</v>
      </c>
      <c r="K437" s="10">
        <v>15965</v>
      </c>
    </row>
    <row r="438" spans="1:11" ht="15.75">
      <c r="A438" s="5">
        <v>44584</v>
      </c>
      <c r="B438" s="6" t="s">
        <v>12</v>
      </c>
      <c r="C438" s="7">
        <v>13.93</v>
      </c>
      <c r="D438" s="7">
        <v>10.7</v>
      </c>
      <c r="E438" s="8">
        <v>3500</v>
      </c>
      <c r="F438" s="6">
        <v>2400</v>
      </c>
      <c r="G438" s="6">
        <v>7000</v>
      </c>
      <c r="H438" s="9">
        <f t="shared" si="35"/>
        <v>12900</v>
      </c>
      <c r="I438" s="9">
        <v>0</v>
      </c>
      <c r="J438" s="9">
        <v>12900</v>
      </c>
      <c r="K438" s="10">
        <v>15678</v>
      </c>
    </row>
    <row r="439" spans="1:11" ht="15.75">
      <c r="A439" s="5">
        <v>44585</v>
      </c>
      <c r="B439" s="6" t="s">
        <v>12</v>
      </c>
      <c r="C439" s="7">
        <v>13.99</v>
      </c>
      <c r="D439" s="7">
        <v>10.9</v>
      </c>
      <c r="E439" s="8">
        <v>3800</v>
      </c>
      <c r="F439" s="6">
        <v>2400</v>
      </c>
      <c r="G439" s="6">
        <v>7000</v>
      </c>
      <c r="H439" s="9">
        <f t="shared" si="35"/>
        <v>13200</v>
      </c>
      <c r="I439" s="9">
        <v>6498</v>
      </c>
      <c r="J439" s="9">
        <v>19698</v>
      </c>
      <c r="K439" s="10">
        <v>20161</v>
      </c>
    </row>
    <row r="440" spans="1:11" ht="15.75">
      <c r="A440" s="5">
        <v>44586</v>
      </c>
      <c r="B440" s="6" t="s">
        <v>12</v>
      </c>
      <c r="C440" s="7">
        <v>13.99</v>
      </c>
      <c r="D440" s="7">
        <v>10.9</v>
      </c>
      <c r="E440" s="8">
        <v>3800</v>
      </c>
      <c r="F440" s="6">
        <v>2400</v>
      </c>
      <c r="G440" s="6">
        <v>4000</v>
      </c>
      <c r="H440" s="9">
        <f t="shared" si="35"/>
        <v>10200</v>
      </c>
      <c r="I440" s="9">
        <v>6493</v>
      </c>
      <c r="J440" s="9">
        <v>16693</v>
      </c>
      <c r="K440" s="10">
        <v>16693</v>
      </c>
    </row>
    <row r="441" spans="1:11" ht="15.75">
      <c r="A441" s="5">
        <v>44587</v>
      </c>
      <c r="B441" s="6" t="s">
        <v>12</v>
      </c>
      <c r="C441" s="7">
        <v>13.99</v>
      </c>
      <c r="D441" s="7">
        <v>10.9</v>
      </c>
      <c r="E441" s="8">
        <v>3300</v>
      </c>
      <c r="F441" s="6">
        <v>2400</v>
      </c>
      <c r="G441" s="6">
        <v>4000</v>
      </c>
      <c r="H441" s="9">
        <f t="shared" si="35"/>
        <v>9700</v>
      </c>
      <c r="I441" s="9">
        <v>6493</v>
      </c>
      <c r="J441" s="9">
        <v>16193</v>
      </c>
      <c r="K441" s="10">
        <v>16193</v>
      </c>
    </row>
    <row r="442" spans="1:11" ht="15.75">
      <c r="A442" s="5">
        <v>44588</v>
      </c>
      <c r="B442" s="6" t="s">
        <v>12</v>
      </c>
      <c r="C442" s="7">
        <v>13.99</v>
      </c>
      <c r="D442" s="7">
        <v>10.9</v>
      </c>
      <c r="E442" s="8">
        <v>3300</v>
      </c>
      <c r="F442" s="6">
        <v>2400</v>
      </c>
      <c r="G442" s="6">
        <v>7000</v>
      </c>
      <c r="H442" s="9">
        <f t="shared" si="35"/>
        <v>12700</v>
      </c>
      <c r="I442" s="9">
        <v>0</v>
      </c>
      <c r="J442" s="9">
        <v>12700</v>
      </c>
      <c r="K442" s="9">
        <v>12700</v>
      </c>
    </row>
    <row r="443" spans="1:11" ht="15.75">
      <c r="A443" s="5">
        <v>44589</v>
      </c>
      <c r="B443" s="6" t="s">
        <v>12</v>
      </c>
      <c r="C443" s="7">
        <v>13.99</v>
      </c>
      <c r="D443" s="7">
        <v>10.9</v>
      </c>
      <c r="E443" s="8">
        <v>3300</v>
      </c>
      <c r="F443" s="6">
        <v>2400</v>
      </c>
      <c r="G443" s="6">
        <v>5000</v>
      </c>
      <c r="H443" s="9">
        <f t="shared" si="35"/>
        <v>10700</v>
      </c>
      <c r="I443" s="9">
        <v>2786</v>
      </c>
      <c r="J443" s="9">
        <v>13486</v>
      </c>
      <c r="K443" s="9">
        <v>13486</v>
      </c>
    </row>
    <row r="444" spans="1:11" ht="15.75">
      <c r="A444" s="5">
        <v>44590</v>
      </c>
      <c r="B444" s="6" t="s">
        <v>12</v>
      </c>
      <c r="C444" s="7">
        <v>13.99</v>
      </c>
      <c r="D444" s="7">
        <v>10.9</v>
      </c>
      <c r="E444" s="8">
        <v>3300</v>
      </c>
      <c r="F444" s="6">
        <v>2400</v>
      </c>
      <c r="G444" s="6">
        <v>6000</v>
      </c>
      <c r="H444" s="9">
        <f t="shared" si="35"/>
        <v>11700</v>
      </c>
      <c r="I444" s="9">
        <v>2784</v>
      </c>
      <c r="J444" s="9">
        <v>14484</v>
      </c>
      <c r="K444" s="9">
        <v>14484</v>
      </c>
    </row>
    <row r="445" spans="1:11" ht="15.75">
      <c r="A445" s="5">
        <v>44591</v>
      </c>
      <c r="B445" s="6" t="s">
        <v>12</v>
      </c>
      <c r="C445" s="7">
        <v>13.99</v>
      </c>
      <c r="D445" s="7">
        <v>10.9</v>
      </c>
      <c r="E445" s="8">
        <v>3300</v>
      </c>
      <c r="F445" s="6">
        <v>2400</v>
      </c>
      <c r="G445" s="6">
        <v>5000</v>
      </c>
      <c r="H445" s="9">
        <f t="shared" si="35"/>
        <v>10700</v>
      </c>
      <c r="I445" s="9">
        <v>0</v>
      </c>
      <c r="J445" s="9">
        <v>10700</v>
      </c>
      <c r="K445" s="9">
        <v>10700</v>
      </c>
    </row>
    <row r="446" spans="1:11" ht="15.75">
      <c r="A446" s="5">
        <v>44592</v>
      </c>
      <c r="B446" s="6" t="s">
        <v>12</v>
      </c>
      <c r="C446" s="7">
        <v>13.99</v>
      </c>
      <c r="D446" s="7">
        <v>10.9</v>
      </c>
      <c r="E446" s="8">
        <v>3600</v>
      </c>
      <c r="F446" s="6">
        <v>2400</v>
      </c>
      <c r="G446" s="6">
        <v>6000</v>
      </c>
      <c r="H446" s="9">
        <f t="shared" si="35"/>
        <v>12000</v>
      </c>
      <c r="I446" s="9">
        <v>0</v>
      </c>
      <c r="J446" s="9">
        <v>12000</v>
      </c>
      <c r="K446" s="9">
        <v>12000</v>
      </c>
    </row>
    <row r="447" spans="1:11" ht="15.75">
      <c r="A447" s="2" t="s">
        <v>13</v>
      </c>
      <c r="B447" s="2"/>
      <c r="C447" s="2"/>
      <c r="D447" s="2"/>
      <c r="E447" s="11">
        <f t="shared" ref="E447:K447" si="36">SUM(E416:E446)</f>
        <v>88550</v>
      </c>
      <c r="F447" s="11">
        <f t="shared" si="36"/>
        <v>60660</v>
      </c>
      <c r="G447" s="11">
        <f t="shared" si="36"/>
        <v>155320</v>
      </c>
      <c r="H447" s="11">
        <f t="shared" si="36"/>
        <v>304530</v>
      </c>
      <c r="I447" s="11">
        <f t="shared" si="36"/>
        <v>25054</v>
      </c>
      <c r="J447" s="11">
        <f t="shared" si="36"/>
        <v>329584</v>
      </c>
      <c r="K447" s="11">
        <f t="shared" si="36"/>
        <v>333265</v>
      </c>
    </row>
    <row r="448" spans="1:11" ht="15.75">
      <c r="A448" s="12"/>
      <c r="B448" s="2"/>
      <c r="C448" s="2"/>
      <c r="D448" s="2"/>
      <c r="E448" s="13">
        <f t="shared" ref="E448:K448" si="37">SUM(E447/11575)</f>
        <v>7.6501079913606915</v>
      </c>
      <c r="F448" s="13">
        <f t="shared" si="37"/>
        <v>5.2406047516198706</v>
      </c>
      <c r="G448" s="13">
        <f t="shared" si="37"/>
        <v>13.418574514038877</v>
      </c>
      <c r="H448" s="13">
        <f t="shared" si="37"/>
        <v>26.309287257019438</v>
      </c>
      <c r="I448" s="13">
        <f t="shared" si="37"/>
        <v>2.1644924406047514</v>
      </c>
      <c r="J448" s="13">
        <f t="shared" si="37"/>
        <v>28.473779697624192</v>
      </c>
      <c r="K448" s="13">
        <f t="shared" si="37"/>
        <v>28.791792656587472</v>
      </c>
    </row>
    <row r="449" spans="1:11" ht="15.75">
      <c r="A449" s="1" t="s">
        <v>32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47.25">
      <c r="A450" s="2" t="s">
        <v>1</v>
      </c>
      <c r="B450" s="2" t="s">
        <v>2</v>
      </c>
      <c r="C450" s="3" t="s">
        <v>18</v>
      </c>
      <c r="D450" s="3" t="s">
        <v>4</v>
      </c>
      <c r="E450" s="3" t="s">
        <v>5</v>
      </c>
      <c r="F450" s="3" t="s">
        <v>6</v>
      </c>
      <c r="G450" s="3" t="s">
        <v>7</v>
      </c>
      <c r="H450" s="3" t="s">
        <v>8</v>
      </c>
      <c r="I450" s="3" t="s">
        <v>9</v>
      </c>
      <c r="J450" s="3" t="s">
        <v>19</v>
      </c>
      <c r="K450" s="4" t="s">
        <v>11</v>
      </c>
    </row>
    <row r="451" spans="1:11" ht="15.75">
      <c r="A451" s="5">
        <v>44593</v>
      </c>
      <c r="B451" s="6" t="s">
        <v>12</v>
      </c>
      <c r="C451" s="7">
        <v>13.99</v>
      </c>
      <c r="D451" s="7">
        <v>10.9</v>
      </c>
      <c r="E451" s="8">
        <v>3600</v>
      </c>
      <c r="F451" s="6">
        <v>2400</v>
      </c>
      <c r="G451" s="8">
        <v>6000</v>
      </c>
      <c r="H451" s="14">
        <f>E451+F451+G451</f>
        <v>12000</v>
      </c>
      <c r="I451" s="9">
        <v>0</v>
      </c>
      <c r="J451" s="9">
        <v>12000</v>
      </c>
      <c r="K451" s="10">
        <v>12000</v>
      </c>
    </row>
    <row r="452" spans="1:11" ht="15.75">
      <c r="A452" s="5">
        <v>44594</v>
      </c>
      <c r="B452" s="6" t="s">
        <v>12</v>
      </c>
      <c r="C452" s="7">
        <v>13.96</v>
      </c>
      <c r="D452" s="7">
        <v>10.8</v>
      </c>
      <c r="E452" s="8">
        <v>3150</v>
      </c>
      <c r="F452" s="6">
        <v>2050</v>
      </c>
      <c r="G452" s="8">
        <v>5500</v>
      </c>
      <c r="H452" s="9">
        <f t="shared" ref="H452:H477" si="38">E452+F452+G452</f>
        <v>10700</v>
      </c>
      <c r="I452" s="9">
        <v>0</v>
      </c>
      <c r="J452" s="9">
        <v>10700</v>
      </c>
      <c r="K452" s="10">
        <v>10468</v>
      </c>
    </row>
    <row r="453" spans="1:11" ht="15.75">
      <c r="A453" s="5">
        <v>44595</v>
      </c>
      <c r="B453" s="6" t="s">
        <v>12</v>
      </c>
      <c r="C453" s="7">
        <v>13.93</v>
      </c>
      <c r="D453" s="7">
        <v>10.7</v>
      </c>
      <c r="E453" s="8">
        <v>2650</v>
      </c>
      <c r="F453" s="6">
        <v>1720</v>
      </c>
      <c r="G453" s="8">
        <v>4600</v>
      </c>
      <c r="H453" s="9">
        <f t="shared" si="38"/>
        <v>8970</v>
      </c>
      <c r="I453" s="9">
        <v>0</v>
      </c>
      <c r="J453" s="9">
        <v>8970</v>
      </c>
      <c r="K453" s="10">
        <v>8738</v>
      </c>
    </row>
    <row r="454" spans="1:11" ht="15.75">
      <c r="A454" s="5">
        <v>44596</v>
      </c>
      <c r="B454" s="6" t="s">
        <v>12</v>
      </c>
      <c r="C454" s="7">
        <v>13.93</v>
      </c>
      <c r="D454" s="7">
        <v>10.7</v>
      </c>
      <c r="E454" s="8">
        <v>2650</v>
      </c>
      <c r="F454" s="6">
        <v>1720</v>
      </c>
      <c r="G454" s="8">
        <v>4600</v>
      </c>
      <c r="H454" s="9">
        <f t="shared" si="38"/>
        <v>8970</v>
      </c>
      <c r="I454" s="9">
        <v>0</v>
      </c>
      <c r="J454" s="9">
        <v>8970</v>
      </c>
      <c r="K454" s="10">
        <v>8970</v>
      </c>
    </row>
    <row r="455" spans="1:11" ht="15.75">
      <c r="A455" s="5">
        <v>44597</v>
      </c>
      <c r="B455" s="6" t="s">
        <v>12</v>
      </c>
      <c r="C455" s="7">
        <v>13.93</v>
      </c>
      <c r="D455" s="7">
        <v>10.7</v>
      </c>
      <c r="E455" s="8">
        <v>2650</v>
      </c>
      <c r="F455" s="6">
        <v>1820</v>
      </c>
      <c r="G455" s="8">
        <v>4600</v>
      </c>
      <c r="H455" s="9">
        <f t="shared" si="38"/>
        <v>9070</v>
      </c>
      <c r="I455" s="9">
        <v>0</v>
      </c>
      <c r="J455" s="9">
        <v>9070</v>
      </c>
      <c r="K455" s="9">
        <v>9070</v>
      </c>
    </row>
    <row r="456" spans="1:11" ht="15.75">
      <c r="A456" s="5">
        <v>44598</v>
      </c>
      <c r="B456" s="6" t="s">
        <v>12</v>
      </c>
      <c r="C456" s="7">
        <v>13.92</v>
      </c>
      <c r="D456" s="7">
        <v>10.65</v>
      </c>
      <c r="E456" s="8">
        <v>2300</v>
      </c>
      <c r="F456" s="6">
        <v>1820</v>
      </c>
      <c r="G456" s="8">
        <v>4000</v>
      </c>
      <c r="H456" s="9">
        <f t="shared" si="38"/>
        <v>8120</v>
      </c>
      <c r="I456" s="9">
        <v>0</v>
      </c>
      <c r="J456" s="9">
        <v>8120</v>
      </c>
      <c r="K456" s="10">
        <v>7933</v>
      </c>
    </row>
    <row r="457" spans="1:11" ht="15.75">
      <c r="A457" s="5">
        <v>44599</v>
      </c>
      <c r="B457" s="6" t="s">
        <v>12</v>
      </c>
      <c r="C457" s="7">
        <v>13.92</v>
      </c>
      <c r="D457" s="7">
        <v>10.65</v>
      </c>
      <c r="E457" s="8">
        <v>2300</v>
      </c>
      <c r="F457" s="6">
        <v>1820</v>
      </c>
      <c r="G457" s="8">
        <v>4000</v>
      </c>
      <c r="H457" s="9">
        <f t="shared" si="38"/>
        <v>8120</v>
      </c>
      <c r="I457" s="9">
        <v>0</v>
      </c>
      <c r="J457" s="9">
        <v>8120</v>
      </c>
      <c r="K457" s="10">
        <v>8120</v>
      </c>
    </row>
    <row r="458" spans="1:11" ht="15.75">
      <c r="A458" s="5">
        <v>44600</v>
      </c>
      <c r="B458" s="6" t="s">
        <v>12</v>
      </c>
      <c r="C458" s="7">
        <v>13.9</v>
      </c>
      <c r="D458" s="7">
        <v>10.6</v>
      </c>
      <c r="E458" s="8">
        <v>2300</v>
      </c>
      <c r="F458" s="6">
        <v>1820</v>
      </c>
      <c r="G458" s="8">
        <v>4000</v>
      </c>
      <c r="H458" s="9">
        <f t="shared" si="38"/>
        <v>8120</v>
      </c>
      <c r="I458" s="9">
        <v>0</v>
      </c>
      <c r="J458" s="9">
        <v>8120</v>
      </c>
      <c r="K458" s="10">
        <v>8042</v>
      </c>
    </row>
    <row r="459" spans="1:11" ht="15.75">
      <c r="A459" s="5">
        <v>44601</v>
      </c>
      <c r="B459" s="6" t="s">
        <v>12</v>
      </c>
      <c r="C459" s="7">
        <v>13.87</v>
      </c>
      <c r="D459" s="7">
        <v>10.5</v>
      </c>
      <c r="E459" s="8">
        <v>2200</v>
      </c>
      <c r="F459" s="6">
        <v>1430</v>
      </c>
      <c r="G459" s="8">
        <v>3830</v>
      </c>
      <c r="H459" s="9">
        <f t="shared" si="38"/>
        <v>7460</v>
      </c>
      <c r="I459" s="9">
        <v>0</v>
      </c>
      <c r="J459" s="9">
        <v>7460</v>
      </c>
      <c r="K459" s="10">
        <v>7228</v>
      </c>
    </row>
    <row r="460" spans="1:11" ht="15.75">
      <c r="A460" s="5">
        <v>44602</v>
      </c>
      <c r="B460" s="6" t="s">
        <v>12</v>
      </c>
      <c r="C460" s="7">
        <v>13.87</v>
      </c>
      <c r="D460" s="7">
        <v>10.5</v>
      </c>
      <c r="E460" s="8">
        <v>2200</v>
      </c>
      <c r="F460" s="6">
        <v>1430</v>
      </c>
      <c r="G460" s="8">
        <v>3830</v>
      </c>
      <c r="H460" s="9">
        <f t="shared" si="38"/>
        <v>7460</v>
      </c>
      <c r="I460" s="9">
        <v>0</v>
      </c>
      <c r="J460" s="10">
        <v>7460</v>
      </c>
      <c r="K460" s="16">
        <v>7460</v>
      </c>
    </row>
    <row r="461" spans="1:11" ht="15.75">
      <c r="A461" s="5">
        <v>44603</v>
      </c>
      <c r="B461" s="6" t="s">
        <v>12</v>
      </c>
      <c r="C461" s="7">
        <v>13.85</v>
      </c>
      <c r="D461" s="7">
        <v>10.45</v>
      </c>
      <c r="E461" s="8">
        <v>2200</v>
      </c>
      <c r="F461" s="6">
        <v>1430</v>
      </c>
      <c r="G461" s="8">
        <v>3830</v>
      </c>
      <c r="H461" s="9">
        <f t="shared" si="38"/>
        <v>7460</v>
      </c>
      <c r="I461" s="9">
        <v>0</v>
      </c>
      <c r="J461" s="9">
        <v>7460</v>
      </c>
      <c r="K461" s="10">
        <v>7306</v>
      </c>
    </row>
    <row r="462" spans="1:11" ht="15.75">
      <c r="A462" s="5">
        <v>44604</v>
      </c>
      <c r="B462" s="6" t="s">
        <v>12</v>
      </c>
      <c r="C462" s="7">
        <v>13.84</v>
      </c>
      <c r="D462" s="7">
        <v>10.4</v>
      </c>
      <c r="E462" s="8">
        <v>2200</v>
      </c>
      <c r="F462" s="8">
        <v>1430</v>
      </c>
      <c r="G462" s="6">
        <v>3830</v>
      </c>
      <c r="H462" s="9">
        <f t="shared" si="38"/>
        <v>7460</v>
      </c>
      <c r="I462" s="9">
        <v>0</v>
      </c>
      <c r="J462" s="9">
        <v>7460</v>
      </c>
      <c r="K462" s="10">
        <v>7382</v>
      </c>
    </row>
    <row r="463" spans="1:11" ht="15.75">
      <c r="A463" s="5">
        <v>44605</v>
      </c>
      <c r="B463" s="6" t="s">
        <v>12</v>
      </c>
      <c r="C463" s="7">
        <v>13.82</v>
      </c>
      <c r="D463" s="7">
        <v>10.35</v>
      </c>
      <c r="E463" s="8">
        <v>2200</v>
      </c>
      <c r="F463" s="6">
        <v>1430</v>
      </c>
      <c r="G463" s="8">
        <v>3830</v>
      </c>
      <c r="H463" s="9">
        <f t="shared" si="38"/>
        <v>7460</v>
      </c>
      <c r="I463" s="9">
        <v>0</v>
      </c>
      <c r="J463" s="9">
        <v>7460</v>
      </c>
      <c r="K463" s="10">
        <v>7306</v>
      </c>
    </row>
    <row r="464" spans="1:11" ht="15.75">
      <c r="A464" s="5">
        <v>44606</v>
      </c>
      <c r="B464" s="6" t="s">
        <v>12</v>
      </c>
      <c r="C464" s="7">
        <v>13.79</v>
      </c>
      <c r="D464" s="7">
        <v>10.25</v>
      </c>
      <c r="E464" s="8">
        <v>2200</v>
      </c>
      <c r="F464" s="6">
        <v>1430</v>
      </c>
      <c r="G464" s="6">
        <v>3830</v>
      </c>
      <c r="H464" s="9">
        <f t="shared" si="38"/>
        <v>7460</v>
      </c>
      <c r="I464" s="9">
        <v>0</v>
      </c>
      <c r="J464" s="9">
        <v>7460</v>
      </c>
      <c r="K464" s="10">
        <v>7228</v>
      </c>
    </row>
    <row r="465" spans="1:11" ht="15.75">
      <c r="A465" s="5">
        <v>44607</v>
      </c>
      <c r="B465" s="6" t="s">
        <v>12</v>
      </c>
      <c r="C465" s="7">
        <v>13.69</v>
      </c>
      <c r="D465" s="7">
        <v>9.9</v>
      </c>
      <c r="E465" s="8">
        <v>3450</v>
      </c>
      <c r="F465" s="6">
        <v>2240</v>
      </c>
      <c r="G465" s="6">
        <v>6000</v>
      </c>
      <c r="H465" s="9">
        <f t="shared" si="38"/>
        <v>11690</v>
      </c>
      <c r="I465" s="9">
        <v>0</v>
      </c>
      <c r="J465" s="9">
        <v>11690</v>
      </c>
      <c r="K465" s="10">
        <v>10918</v>
      </c>
    </row>
    <row r="466" spans="1:11" ht="15.75">
      <c r="A466" s="5">
        <v>44608</v>
      </c>
      <c r="B466" s="6" t="s">
        <v>12</v>
      </c>
      <c r="C466" s="7">
        <v>13.55</v>
      </c>
      <c r="D466" s="7">
        <v>9.4499999999999993</v>
      </c>
      <c r="E466" s="8">
        <v>2870</v>
      </c>
      <c r="F466" s="6">
        <v>1870</v>
      </c>
      <c r="G466" s="6">
        <v>5000</v>
      </c>
      <c r="H466" s="9">
        <f t="shared" si="38"/>
        <v>9740</v>
      </c>
      <c r="I466" s="9">
        <v>0</v>
      </c>
      <c r="J466" s="9">
        <v>9740</v>
      </c>
      <c r="K466" s="10">
        <v>8660</v>
      </c>
    </row>
    <row r="467" spans="1:11" ht="15.75">
      <c r="A467" s="5">
        <v>44609</v>
      </c>
      <c r="B467" s="6" t="s">
        <v>12</v>
      </c>
      <c r="C467" s="7">
        <v>13.52</v>
      </c>
      <c r="D467" s="7">
        <v>9.35</v>
      </c>
      <c r="E467" s="8">
        <v>2650</v>
      </c>
      <c r="F467" s="6">
        <v>1720</v>
      </c>
      <c r="G467" s="6">
        <v>4600</v>
      </c>
      <c r="H467" s="9">
        <f t="shared" si="38"/>
        <v>8970</v>
      </c>
      <c r="I467" s="9">
        <v>0</v>
      </c>
      <c r="J467" s="9">
        <v>8970</v>
      </c>
      <c r="K467" s="10">
        <v>8738</v>
      </c>
    </row>
    <row r="468" spans="1:11" ht="15.75">
      <c r="A468" s="5">
        <v>44610</v>
      </c>
      <c r="B468" s="6" t="s">
        <v>12</v>
      </c>
      <c r="C468" s="7">
        <v>13.6</v>
      </c>
      <c r="D468" s="7">
        <v>9.6</v>
      </c>
      <c r="E468" s="8">
        <v>2400</v>
      </c>
      <c r="F468" s="6">
        <v>1560</v>
      </c>
      <c r="G468" s="6">
        <v>4180</v>
      </c>
      <c r="H468" s="9">
        <f t="shared" si="38"/>
        <v>8140</v>
      </c>
      <c r="I468" s="9">
        <v>0</v>
      </c>
      <c r="J468" s="9">
        <v>8140</v>
      </c>
      <c r="K468" s="10">
        <v>8757</v>
      </c>
    </row>
    <row r="469" spans="1:11" ht="15.75">
      <c r="A469" s="5">
        <v>44611</v>
      </c>
      <c r="B469" s="6" t="s">
        <v>12</v>
      </c>
      <c r="C469" s="7">
        <v>13.81</v>
      </c>
      <c r="D469" s="7">
        <v>10.3</v>
      </c>
      <c r="E469" s="8">
        <v>2200</v>
      </c>
      <c r="F469" s="6">
        <v>1430</v>
      </c>
      <c r="G469" s="6">
        <v>3830</v>
      </c>
      <c r="H469" s="9">
        <f t="shared" si="38"/>
        <v>7460</v>
      </c>
      <c r="I469" s="9">
        <v>0</v>
      </c>
      <c r="J469" s="9">
        <v>7460</v>
      </c>
      <c r="K469" s="10">
        <v>9081</v>
      </c>
    </row>
    <row r="470" spans="1:11" ht="15.75">
      <c r="A470" s="5">
        <v>44612</v>
      </c>
      <c r="B470" s="6" t="s">
        <v>12</v>
      </c>
      <c r="C470" s="7">
        <v>13.95</v>
      </c>
      <c r="D470" s="7">
        <v>10.75</v>
      </c>
      <c r="E470" s="8">
        <v>2400</v>
      </c>
      <c r="F470" s="6">
        <v>1560</v>
      </c>
      <c r="G470" s="6">
        <v>4180</v>
      </c>
      <c r="H470" s="9">
        <f t="shared" si="38"/>
        <v>8140</v>
      </c>
      <c r="I470" s="9">
        <v>0</v>
      </c>
      <c r="J470" s="9">
        <v>8140</v>
      </c>
      <c r="K470" s="10">
        <v>9144</v>
      </c>
    </row>
    <row r="471" spans="1:11" ht="15.75">
      <c r="A471" s="5">
        <v>44613</v>
      </c>
      <c r="B471" s="6" t="s">
        <v>12</v>
      </c>
      <c r="C471" s="7">
        <v>13.98</v>
      </c>
      <c r="D471" s="7">
        <v>10.85</v>
      </c>
      <c r="E471" s="8">
        <v>3435</v>
      </c>
      <c r="F471" s="6">
        <v>2230</v>
      </c>
      <c r="G471" s="6">
        <v>5975</v>
      </c>
      <c r="H471" s="9">
        <f t="shared" si="38"/>
        <v>11640</v>
      </c>
      <c r="I471" s="9">
        <v>0</v>
      </c>
      <c r="J471" s="9">
        <v>11640</v>
      </c>
      <c r="K471" s="10">
        <v>11872</v>
      </c>
    </row>
    <row r="472" spans="1:11" ht="15.75">
      <c r="A472" s="5">
        <v>44614</v>
      </c>
      <c r="B472" s="6" t="s">
        <v>12</v>
      </c>
      <c r="C472" s="7">
        <v>13.99</v>
      </c>
      <c r="D472" s="7">
        <v>10.9</v>
      </c>
      <c r="E472" s="8">
        <v>3300</v>
      </c>
      <c r="F472" s="6">
        <v>2150</v>
      </c>
      <c r="G472" s="6">
        <v>5750</v>
      </c>
      <c r="H472" s="9">
        <f t="shared" si="38"/>
        <v>11200</v>
      </c>
      <c r="I472" s="9">
        <v>0</v>
      </c>
      <c r="J472" s="9">
        <v>11200</v>
      </c>
      <c r="K472" s="10">
        <v>11354</v>
      </c>
    </row>
    <row r="473" spans="1:11" ht="15.75">
      <c r="A473" s="5">
        <v>44615</v>
      </c>
      <c r="B473" s="6" t="s">
        <v>12</v>
      </c>
      <c r="C473" s="7">
        <v>13.96</v>
      </c>
      <c r="D473" s="7">
        <v>10.8</v>
      </c>
      <c r="E473" s="8">
        <v>3300</v>
      </c>
      <c r="F473" s="6">
        <v>2150</v>
      </c>
      <c r="G473" s="6">
        <v>5750</v>
      </c>
      <c r="H473" s="9">
        <f t="shared" si="38"/>
        <v>11200</v>
      </c>
      <c r="I473" s="9">
        <v>0</v>
      </c>
      <c r="J473" s="9">
        <v>11200</v>
      </c>
      <c r="K473" s="10">
        <v>10968</v>
      </c>
    </row>
    <row r="474" spans="1:11" ht="15.75">
      <c r="A474" s="5">
        <v>44616</v>
      </c>
      <c r="B474" s="6" t="s">
        <v>12</v>
      </c>
      <c r="C474" s="7">
        <v>13.96</v>
      </c>
      <c r="D474" s="7">
        <v>10.8</v>
      </c>
      <c r="E474" s="8">
        <v>2870</v>
      </c>
      <c r="F474" s="6">
        <v>1870</v>
      </c>
      <c r="G474" s="6">
        <v>5000</v>
      </c>
      <c r="H474" s="9">
        <f t="shared" si="38"/>
        <v>9740</v>
      </c>
      <c r="I474" s="9">
        <v>0</v>
      </c>
      <c r="J474" s="9">
        <v>9740</v>
      </c>
      <c r="K474" s="10">
        <v>9740</v>
      </c>
    </row>
    <row r="475" spans="1:11" ht="15.75">
      <c r="A475" s="5">
        <v>44617</v>
      </c>
      <c r="B475" s="6" t="s">
        <v>12</v>
      </c>
      <c r="C475" s="7">
        <v>13.99</v>
      </c>
      <c r="D475" s="7">
        <v>10.9</v>
      </c>
      <c r="E475" s="8">
        <v>2870</v>
      </c>
      <c r="F475" s="6">
        <v>1870</v>
      </c>
      <c r="G475" s="6">
        <v>5000</v>
      </c>
      <c r="H475" s="9">
        <f t="shared" si="38"/>
        <v>9740</v>
      </c>
      <c r="I475" s="9">
        <v>0</v>
      </c>
      <c r="J475" s="9">
        <v>9740</v>
      </c>
      <c r="K475" s="10">
        <v>9972</v>
      </c>
    </row>
    <row r="476" spans="1:11" ht="15.75">
      <c r="A476" s="5">
        <v>44618</v>
      </c>
      <c r="B476" s="6" t="s">
        <v>12</v>
      </c>
      <c r="C476" s="7">
        <v>13.99</v>
      </c>
      <c r="D476" s="7">
        <v>10.9</v>
      </c>
      <c r="E476" s="8">
        <v>3150</v>
      </c>
      <c r="F476" s="6">
        <v>2050</v>
      </c>
      <c r="G476" s="6">
        <v>5475</v>
      </c>
      <c r="H476" s="9">
        <f t="shared" si="38"/>
        <v>10675</v>
      </c>
      <c r="I476" s="9">
        <v>0</v>
      </c>
      <c r="J476" s="9">
        <v>10675</v>
      </c>
      <c r="K476" s="10">
        <v>10675</v>
      </c>
    </row>
    <row r="477" spans="1:11" ht="15.75">
      <c r="A477" s="5">
        <v>44619</v>
      </c>
      <c r="B477" s="6" t="s">
        <v>12</v>
      </c>
      <c r="C477" s="7">
        <v>13.99</v>
      </c>
      <c r="D477" s="7">
        <v>10.9</v>
      </c>
      <c r="E477" s="8">
        <v>3150</v>
      </c>
      <c r="F477" s="6">
        <v>2050</v>
      </c>
      <c r="G477" s="6">
        <v>5475</v>
      </c>
      <c r="H477" s="9">
        <f t="shared" si="38"/>
        <v>10675</v>
      </c>
      <c r="I477" s="9">
        <v>0</v>
      </c>
      <c r="J477" s="9">
        <v>10675</v>
      </c>
      <c r="K477" s="9">
        <v>10675</v>
      </c>
    </row>
    <row r="478" spans="1:11" ht="15.75">
      <c r="A478" s="5">
        <v>44620</v>
      </c>
      <c r="B478" s="6" t="s">
        <v>12</v>
      </c>
      <c r="C478" s="7">
        <v>13.99</v>
      </c>
      <c r="D478" s="7">
        <v>10.9</v>
      </c>
      <c r="E478" s="8">
        <v>3150</v>
      </c>
      <c r="F478" s="6">
        <v>2050</v>
      </c>
      <c r="G478" s="6">
        <v>5475</v>
      </c>
      <c r="H478" s="14">
        <v>10675</v>
      </c>
      <c r="I478" s="9">
        <v>0</v>
      </c>
      <c r="J478" s="9">
        <v>10675</v>
      </c>
      <c r="K478" s="9">
        <v>10675</v>
      </c>
    </row>
    <row r="479" spans="1:11" ht="15.75">
      <c r="A479" s="2" t="s">
        <v>13</v>
      </c>
      <c r="B479" s="2"/>
      <c r="C479" s="2"/>
      <c r="D479" s="2"/>
      <c r="E479" s="11">
        <f t="shared" ref="E479:K479" si="39">SUM(E451:E478)</f>
        <v>75995</v>
      </c>
      <c r="F479" s="11">
        <f t="shared" si="39"/>
        <v>50550</v>
      </c>
      <c r="G479" s="11">
        <f t="shared" si="39"/>
        <v>131970</v>
      </c>
      <c r="H479" s="11">
        <f t="shared" si="39"/>
        <v>258515</v>
      </c>
      <c r="I479" s="11">
        <f t="shared" si="39"/>
        <v>0</v>
      </c>
      <c r="J479" s="11">
        <f t="shared" si="39"/>
        <v>258515</v>
      </c>
      <c r="K479" s="11">
        <f t="shared" si="39"/>
        <v>258480</v>
      </c>
    </row>
    <row r="480" spans="1:11" ht="15.75">
      <c r="A480" s="12"/>
      <c r="B480" s="2"/>
      <c r="C480" s="2"/>
      <c r="D480" s="2"/>
      <c r="E480" s="13">
        <f t="shared" ref="E480:K480" si="40">SUM(E479/11575)</f>
        <v>6.565442764578834</v>
      </c>
      <c r="F480" s="13">
        <f t="shared" si="40"/>
        <v>4.3671706263498917</v>
      </c>
      <c r="G480" s="13">
        <f t="shared" si="40"/>
        <v>11.401295896328294</v>
      </c>
      <c r="H480" s="13">
        <f t="shared" si="40"/>
        <v>22.333909287257018</v>
      </c>
      <c r="I480" s="13">
        <f t="shared" si="40"/>
        <v>0</v>
      </c>
      <c r="J480" s="13">
        <f t="shared" si="40"/>
        <v>22.333909287257018</v>
      </c>
      <c r="K480" s="13">
        <f t="shared" si="40"/>
        <v>22.330885529157669</v>
      </c>
    </row>
    <row r="481" spans="1:11" ht="15.75">
      <c r="A481" s="1" t="s">
        <v>33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47.25">
      <c r="A482" s="2" t="s">
        <v>1</v>
      </c>
      <c r="B482" s="2" t="s">
        <v>2</v>
      </c>
      <c r="C482" s="3" t="s">
        <v>18</v>
      </c>
      <c r="D482" s="3" t="s">
        <v>4</v>
      </c>
      <c r="E482" s="3" t="s">
        <v>5</v>
      </c>
      <c r="F482" s="3" t="s">
        <v>6</v>
      </c>
      <c r="G482" s="3" t="s">
        <v>7</v>
      </c>
      <c r="H482" s="3" t="s">
        <v>8</v>
      </c>
      <c r="I482" s="3" t="s">
        <v>9</v>
      </c>
      <c r="J482" s="3" t="s">
        <v>19</v>
      </c>
      <c r="K482" s="4" t="s">
        <v>11</v>
      </c>
    </row>
    <row r="483" spans="1:11" ht="15.75">
      <c r="A483" s="5">
        <v>44621</v>
      </c>
      <c r="B483" s="6" t="s">
        <v>12</v>
      </c>
      <c r="C483" s="7">
        <v>13.99</v>
      </c>
      <c r="D483" s="7">
        <v>10.9</v>
      </c>
      <c r="E483" s="8">
        <v>3150</v>
      </c>
      <c r="F483" s="8">
        <v>2050</v>
      </c>
      <c r="G483" s="8">
        <v>5475</v>
      </c>
      <c r="H483" s="9">
        <f t="shared" ref="H483:H513" si="41">E483+F483+G483</f>
        <v>10675</v>
      </c>
      <c r="I483" s="9">
        <v>0</v>
      </c>
      <c r="J483" s="9">
        <v>10675</v>
      </c>
      <c r="K483" s="10">
        <v>10675</v>
      </c>
    </row>
    <row r="484" spans="1:11" ht="15.75">
      <c r="A484" s="5">
        <v>44622</v>
      </c>
      <c r="B484" s="6" t="s">
        <v>12</v>
      </c>
      <c r="C484" s="7">
        <v>13.98</v>
      </c>
      <c r="D484" s="7">
        <v>10.85</v>
      </c>
      <c r="E484" s="8">
        <v>3150</v>
      </c>
      <c r="F484" s="6">
        <v>2050</v>
      </c>
      <c r="G484" s="8">
        <v>5475</v>
      </c>
      <c r="H484" s="9">
        <f t="shared" si="41"/>
        <v>10675</v>
      </c>
      <c r="I484" s="9">
        <v>0</v>
      </c>
      <c r="J484" s="9">
        <v>10675</v>
      </c>
      <c r="K484" s="10">
        <v>10521</v>
      </c>
    </row>
    <row r="485" spans="1:11" ht="15.75">
      <c r="A485" s="5">
        <v>44623</v>
      </c>
      <c r="B485" s="6" t="s">
        <v>12</v>
      </c>
      <c r="C485" s="7">
        <v>13.99</v>
      </c>
      <c r="D485" s="7">
        <v>10.9</v>
      </c>
      <c r="E485" s="8">
        <v>3150</v>
      </c>
      <c r="F485" s="6">
        <v>2050</v>
      </c>
      <c r="G485" s="8">
        <v>5475</v>
      </c>
      <c r="H485" s="9">
        <f t="shared" si="41"/>
        <v>10675</v>
      </c>
      <c r="I485" s="9">
        <v>0</v>
      </c>
      <c r="J485" s="9">
        <v>10675</v>
      </c>
      <c r="K485" s="10">
        <v>10829</v>
      </c>
    </row>
    <row r="486" spans="1:11" ht="15.75">
      <c r="A486" s="5">
        <v>44624</v>
      </c>
      <c r="B486" s="6" t="s">
        <v>12</v>
      </c>
      <c r="C486" s="7">
        <v>13.95</v>
      </c>
      <c r="D486" s="7">
        <v>10.75</v>
      </c>
      <c r="E486" s="8">
        <v>3150</v>
      </c>
      <c r="F486" s="6">
        <v>2050</v>
      </c>
      <c r="G486" s="8">
        <v>5475</v>
      </c>
      <c r="H486" s="9">
        <f t="shared" si="41"/>
        <v>10675</v>
      </c>
      <c r="I486" s="9">
        <v>0</v>
      </c>
      <c r="J486" s="9">
        <v>10675</v>
      </c>
      <c r="K486" s="10">
        <v>10290</v>
      </c>
    </row>
    <row r="487" spans="1:11" ht="15.75">
      <c r="A487" s="5">
        <v>44625</v>
      </c>
      <c r="B487" s="6" t="s">
        <v>12</v>
      </c>
      <c r="C487" s="7">
        <v>13.92</v>
      </c>
      <c r="D487" s="7">
        <v>10.65</v>
      </c>
      <c r="E487" s="8">
        <v>3150</v>
      </c>
      <c r="F487" s="6">
        <v>2050</v>
      </c>
      <c r="G487" s="8">
        <v>5475</v>
      </c>
      <c r="H487" s="9">
        <f t="shared" si="41"/>
        <v>10675</v>
      </c>
      <c r="I487" s="9">
        <v>0</v>
      </c>
      <c r="J487" s="9">
        <v>10675</v>
      </c>
      <c r="K487" s="9">
        <v>10443</v>
      </c>
    </row>
    <row r="488" spans="1:11" ht="15.75">
      <c r="A488" s="5">
        <v>44626</v>
      </c>
      <c r="B488" s="6" t="s">
        <v>12</v>
      </c>
      <c r="C488" s="7">
        <v>13.89</v>
      </c>
      <c r="D488" s="7">
        <v>10.55</v>
      </c>
      <c r="E488" s="8">
        <v>3150</v>
      </c>
      <c r="F488" s="6">
        <v>2050</v>
      </c>
      <c r="G488" s="8">
        <v>5475</v>
      </c>
      <c r="H488" s="9">
        <f t="shared" si="41"/>
        <v>10675</v>
      </c>
      <c r="I488" s="9">
        <v>0</v>
      </c>
      <c r="J488" s="9">
        <v>10675</v>
      </c>
      <c r="K488" s="10">
        <v>10525</v>
      </c>
    </row>
    <row r="489" spans="1:11" ht="15.75">
      <c r="A489" s="5">
        <v>44627</v>
      </c>
      <c r="B489" s="6" t="s">
        <v>12</v>
      </c>
      <c r="C489" s="7">
        <v>13.87</v>
      </c>
      <c r="D489" s="7">
        <v>10.5</v>
      </c>
      <c r="E489" s="8">
        <v>2650</v>
      </c>
      <c r="F489" s="6">
        <v>1720</v>
      </c>
      <c r="G489" s="8">
        <v>4600</v>
      </c>
      <c r="H489" s="9">
        <f t="shared" si="41"/>
        <v>8970</v>
      </c>
      <c r="I489" s="9">
        <v>0</v>
      </c>
      <c r="J489" s="9">
        <v>8970</v>
      </c>
      <c r="K489" s="10">
        <v>8816</v>
      </c>
    </row>
    <row r="490" spans="1:11" ht="15.75">
      <c r="A490" s="5">
        <v>44628</v>
      </c>
      <c r="B490" s="6" t="s">
        <v>12</v>
      </c>
      <c r="C490" s="7">
        <v>13.9</v>
      </c>
      <c r="D490" s="7">
        <v>10.6</v>
      </c>
      <c r="E490" s="8">
        <v>2650</v>
      </c>
      <c r="F490" s="6">
        <v>1720</v>
      </c>
      <c r="G490" s="8">
        <v>4600</v>
      </c>
      <c r="H490" s="9">
        <f t="shared" si="41"/>
        <v>8970</v>
      </c>
      <c r="I490" s="9">
        <v>0</v>
      </c>
      <c r="J490" s="9">
        <v>8970</v>
      </c>
      <c r="K490" s="10">
        <v>9202</v>
      </c>
    </row>
    <row r="491" spans="1:11" ht="15.75">
      <c r="A491" s="5">
        <v>44629</v>
      </c>
      <c r="B491" s="6" t="s">
        <v>12</v>
      </c>
      <c r="C491" s="7">
        <v>13.98</v>
      </c>
      <c r="D491" s="7">
        <v>10.85</v>
      </c>
      <c r="E491" s="8">
        <v>2650</v>
      </c>
      <c r="F491" s="6">
        <v>1720</v>
      </c>
      <c r="G491" s="8">
        <v>4600</v>
      </c>
      <c r="H491" s="9">
        <f t="shared" si="41"/>
        <v>8970</v>
      </c>
      <c r="I491" s="9">
        <v>0</v>
      </c>
      <c r="J491" s="9">
        <v>8970</v>
      </c>
      <c r="K491" s="10">
        <v>9511</v>
      </c>
    </row>
    <row r="492" spans="1:11" ht="15.75">
      <c r="A492" s="5">
        <v>44630</v>
      </c>
      <c r="B492" s="6" t="s">
        <v>12</v>
      </c>
      <c r="C492" s="7">
        <v>13.99</v>
      </c>
      <c r="D492" s="7">
        <v>10.9</v>
      </c>
      <c r="E492" s="8">
        <v>2640</v>
      </c>
      <c r="F492" s="6">
        <v>1720</v>
      </c>
      <c r="G492" s="8">
        <v>4600</v>
      </c>
      <c r="H492" s="9">
        <f t="shared" si="41"/>
        <v>8960</v>
      </c>
      <c r="I492" s="9">
        <v>0</v>
      </c>
      <c r="J492" s="10">
        <v>8970</v>
      </c>
      <c r="K492" s="16">
        <v>9124</v>
      </c>
    </row>
    <row r="493" spans="1:11" ht="15.75">
      <c r="A493" s="5">
        <v>44631</v>
      </c>
      <c r="B493" s="6" t="s">
        <v>12</v>
      </c>
      <c r="C493" s="7">
        <v>13.99</v>
      </c>
      <c r="D493" s="7">
        <v>10.9</v>
      </c>
      <c r="E493" s="8">
        <v>2870</v>
      </c>
      <c r="F493" s="6">
        <v>1870</v>
      </c>
      <c r="G493" s="8">
        <v>5000</v>
      </c>
      <c r="H493" s="9">
        <f t="shared" si="41"/>
        <v>9740</v>
      </c>
      <c r="I493" s="9">
        <v>0</v>
      </c>
      <c r="J493" s="9">
        <v>9740</v>
      </c>
      <c r="K493" s="10">
        <v>9740</v>
      </c>
    </row>
    <row r="494" spans="1:11" ht="15.75">
      <c r="A494" s="5">
        <v>44632</v>
      </c>
      <c r="B494" s="6" t="s">
        <v>12</v>
      </c>
      <c r="C494" s="7">
        <v>13.96</v>
      </c>
      <c r="D494" s="7">
        <v>10.8</v>
      </c>
      <c r="E494" s="8">
        <v>2650</v>
      </c>
      <c r="F494" s="8">
        <v>1720</v>
      </c>
      <c r="G494" s="6">
        <v>4600</v>
      </c>
      <c r="H494" s="9">
        <f t="shared" si="41"/>
        <v>8970</v>
      </c>
      <c r="I494" s="9">
        <v>0</v>
      </c>
      <c r="J494" s="9">
        <v>8970</v>
      </c>
      <c r="K494" s="10">
        <v>8738</v>
      </c>
    </row>
    <row r="495" spans="1:11" ht="15.75">
      <c r="A495" s="5">
        <v>44633</v>
      </c>
      <c r="B495" s="6" t="s">
        <v>12</v>
      </c>
      <c r="C495" s="7">
        <v>13.87</v>
      </c>
      <c r="D495" s="7">
        <v>10.5</v>
      </c>
      <c r="E495" s="8">
        <v>2650</v>
      </c>
      <c r="F495" s="6">
        <v>1720</v>
      </c>
      <c r="G495" s="8">
        <v>4600</v>
      </c>
      <c r="H495" s="9">
        <f t="shared" si="41"/>
        <v>8970</v>
      </c>
      <c r="I495" s="9">
        <v>0</v>
      </c>
      <c r="J495" s="9">
        <v>8970</v>
      </c>
      <c r="K495" s="10">
        <v>8275</v>
      </c>
    </row>
    <row r="496" spans="1:11" ht="15.75">
      <c r="A496" s="5">
        <v>44634</v>
      </c>
      <c r="B496" s="6" t="s">
        <v>12</v>
      </c>
      <c r="C496" s="7">
        <v>13.79</v>
      </c>
      <c r="D496" s="7">
        <v>10.25</v>
      </c>
      <c r="E496" s="8">
        <v>2400</v>
      </c>
      <c r="F496" s="6">
        <v>1560</v>
      </c>
      <c r="G496" s="6">
        <v>4180</v>
      </c>
      <c r="H496" s="9">
        <f t="shared" si="41"/>
        <v>8140</v>
      </c>
      <c r="I496" s="9">
        <v>0</v>
      </c>
      <c r="J496" s="9">
        <v>8140</v>
      </c>
      <c r="K496" s="10">
        <v>7523</v>
      </c>
    </row>
    <row r="497" spans="1:11" ht="15.75">
      <c r="A497" s="5">
        <v>44635</v>
      </c>
      <c r="B497" s="6" t="s">
        <v>12</v>
      </c>
      <c r="C497" s="7">
        <v>13.7</v>
      </c>
      <c r="D497" s="7">
        <v>9.9499999999999993</v>
      </c>
      <c r="E497" s="8">
        <v>2400</v>
      </c>
      <c r="F497" s="6">
        <v>1560</v>
      </c>
      <c r="G497" s="6">
        <v>4180</v>
      </c>
      <c r="H497" s="9">
        <f t="shared" si="41"/>
        <v>8140</v>
      </c>
      <c r="I497" s="9">
        <v>0</v>
      </c>
      <c r="J497" s="9">
        <v>8140</v>
      </c>
      <c r="K497" s="10">
        <v>7445</v>
      </c>
    </row>
    <row r="498" spans="1:11" ht="15.75">
      <c r="A498" s="5">
        <v>44636</v>
      </c>
      <c r="B498" s="6" t="s">
        <v>12</v>
      </c>
      <c r="C498" s="7">
        <v>13.63</v>
      </c>
      <c r="D498" s="7">
        <v>9.6999999999999993</v>
      </c>
      <c r="E498" s="8">
        <v>2400</v>
      </c>
      <c r="F498" s="6">
        <v>1560</v>
      </c>
      <c r="G498" s="6">
        <v>4180</v>
      </c>
      <c r="H498" s="9">
        <f t="shared" si="41"/>
        <v>8140</v>
      </c>
      <c r="I498" s="9">
        <v>0</v>
      </c>
      <c r="J498" s="9">
        <v>8140</v>
      </c>
      <c r="K498" s="10">
        <v>7599</v>
      </c>
    </row>
    <row r="499" spans="1:11" ht="15.75">
      <c r="A499" s="5">
        <v>44637</v>
      </c>
      <c r="B499" s="6" t="s">
        <v>12</v>
      </c>
      <c r="C499" s="7">
        <v>13.66</v>
      </c>
      <c r="D499" s="7">
        <v>9.8000000000000007</v>
      </c>
      <c r="E499" s="8">
        <v>2400</v>
      </c>
      <c r="F499" s="6">
        <v>1560</v>
      </c>
      <c r="G499" s="6">
        <v>4180</v>
      </c>
      <c r="H499" s="9">
        <f t="shared" si="41"/>
        <v>8140</v>
      </c>
      <c r="I499" s="9">
        <v>0</v>
      </c>
      <c r="J499" s="9">
        <v>8140</v>
      </c>
      <c r="K499" s="10">
        <v>8372</v>
      </c>
    </row>
    <row r="500" spans="1:11" ht="15.75">
      <c r="A500" s="5">
        <v>44638</v>
      </c>
      <c r="B500" s="6" t="s">
        <v>12</v>
      </c>
      <c r="C500" s="7">
        <v>13.63</v>
      </c>
      <c r="D500" s="7">
        <v>9.6999999999999993</v>
      </c>
      <c r="E500" s="8">
        <v>2400</v>
      </c>
      <c r="F500" s="6">
        <v>1560</v>
      </c>
      <c r="G500" s="6">
        <v>4180</v>
      </c>
      <c r="H500" s="9">
        <f t="shared" si="41"/>
        <v>8140</v>
      </c>
      <c r="I500" s="9">
        <v>0</v>
      </c>
      <c r="J500" s="9">
        <v>8140</v>
      </c>
      <c r="K500" s="10">
        <v>7908</v>
      </c>
    </row>
    <row r="501" spans="1:11" ht="15.75">
      <c r="A501" s="5">
        <v>44639</v>
      </c>
      <c r="B501" s="6" t="s">
        <v>12</v>
      </c>
      <c r="C501" s="7">
        <v>13.6</v>
      </c>
      <c r="D501" s="7">
        <v>9.6</v>
      </c>
      <c r="E501" s="8">
        <v>2400</v>
      </c>
      <c r="F501" s="6">
        <v>1560</v>
      </c>
      <c r="G501" s="6">
        <v>4180</v>
      </c>
      <c r="H501" s="9">
        <f t="shared" si="41"/>
        <v>8140</v>
      </c>
      <c r="I501" s="9">
        <v>0</v>
      </c>
      <c r="J501" s="9">
        <v>8140</v>
      </c>
      <c r="K501" s="10">
        <v>7908</v>
      </c>
    </row>
    <row r="502" spans="1:11" ht="15.75">
      <c r="A502" s="5">
        <v>44640</v>
      </c>
      <c r="B502" s="6" t="s">
        <v>12</v>
      </c>
      <c r="C502" s="7">
        <v>13.5</v>
      </c>
      <c r="D502" s="7">
        <v>9.3000000000000007</v>
      </c>
      <c r="E502" s="8">
        <v>2520</v>
      </c>
      <c r="F502" s="6">
        <v>1640</v>
      </c>
      <c r="G502" s="6">
        <v>4380</v>
      </c>
      <c r="H502" s="9">
        <f t="shared" si="41"/>
        <v>8540</v>
      </c>
      <c r="I502" s="9">
        <v>0</v>
      </c>
      <c r="J502" s="9">
        <v>8540</v>
      </c>
      <c r="K502" s="10">
        <v>7769</v>
      </c>
    </row>
    <row r="503" spans="1:11" ht="15.75">
      <c r="A503" s="5">
        <v>44641</v>
      </c>
      <c r="B503" s="6" t="s">
        <v>12</v>
      </c>
      <c r="C503" s="7">
        <v>13.44</v>
      </c>
      <c r="D503" s="7">
        <v>9.1</v>
      </c>
      <c r="E503" s="8">
        <v>2520</v>
      </c>
      <c r="F503" s="6">
        <v>1640</v>
      </c>
      <c r="G503" s="6">
        <v>4380</v>
      </c>
      <c r="H503" s="9">
        <f t="shared" si="41"/>
        <v>8540</v>
      </c>
      <c r="I503" s="9">
        <v>0</v>
      </c>
      <c r="J503" s="9">
        <v>8540</v>
      </c>
      <c r="K503" s="10">
        <v>8077</v>
      </c>
    </row>
    <row r="504" spans="1:11" ht="15.75">
      <c r="A504" s="5">
        <v>44642</v>
      </c>
      <c r="B504" s="6" t="s">
        <v>12</v>
      </c>
      <c r="C504" s="7">
        <v>13.5</v>
      </c>
      <c r="D504" s="7">
        <v>9.3000000000000007</v>
      </c>
      <c r="E504" s="8">
        <v>2520</v>
      </c>
      <c r="F504" s="6">
        <v>1640</v>
      </c>
      <c r="G504" s="6">
        <v>4380</v>
      </c>
      <c r="H504" s="9">
        <f t="shared" si="41"/>
        <v>8540</v>
      </c>
      <c r="I504" s="9">
        <v>0</v>
      </c>
      <c r="J504" s="9">
        <v>8540</v>
      </c>
      <c r="K504" s="10">
        <v>9003</v>
      </c>
    </row>
    <row r="505" spans="1:11" ht="15.75">
      <c r="A505" s="5">
        <v>44643</v>
      </c>
      <c r="B505" s="6" t="s">
        <v>12</v>
      </c>
      <c r="C505" s="7">
        <v>13.52</v>
      </c>
      <c r="D505" s="7">
        <v>9.35</v>
      </c>
      <c r="E505" s="8">
        <v>2520</v>
      </c>
      <c r="F505" s="6">
        <v>1640</v>
      </c>
      <c r="G505" s="6">
        <v>4380</v>
      </c>
      <c r="H505" s="9">
        <f t="shared" si="41"/>
        <v>8540</v>
      </c>
      <c r="I505" s="9">
        <v>0</v>
      </c>
      <c r="J505" s="9">
        <v>8540</v>
      </c>
      <c r="K505" s="10">
        <v>8694</v>
      </c>
    </row>
    <row r="506" spans="1:11" ht="15.75">
      <c r="A506" s="5">
        <v>44644</v>
      </c>
      <c r="B506" s="6" t="s">
        <v>12</v>
      </c>
      <c r="C506" s="7">
        <v>13.55</v>
      </c>
      <c r="D506" s="7">
        <v>9.4499999999999993</v>
      </c>
      <c r="E506" s="8">
        <v>2790</v>
      </c>
      <c r="F506" s="6">
        <v>1810</v>
      </c>
      <c r="G506" s="6">
        <v>4840</v>
      </c>
      <c r="H506" s="9">
        <f t="shared" si="41"/>
        <v>9440</v>
      </c>
      <c r="I506" s="9">
        <v>0</v>
      </c>
      <c r="J506" s="9">
        <v>9440</v>
      </c>
      <c r="K506" s="10">
        <v>9672</v>
      </c>
    </row>
    <row r="507" spans="1:11" ht="15.75">
      <c r="A507" s="5">
        <v>44645</v>
      </c>
      <c r="B507" s="6" t="s">
        <v>12</v>
      </c>
      <c r="C507" s="7">
        <v>13.57</v>
      </c>
      <c r="D507" s="7">
        <v>9.5</v>
      </c>
      <c r="E507" s="8">
        <v>2790</v>
      </c>
      <c r="F507" s="6">
        <v>1810</v>
      </c>
      <c r="G507" s="6">
        <v>4840</v>
      </c>
      <c r="H507" s="9">
        <f t="shared" si="41"/>
        <v>9440</v>
      </c>
      <c r="I507" s="9">
        <v>0</v>
      </c>
      <c r="J507" s="9">
        <v>9440</v>
      </c>
      <c r="K507" s="10">
        <v>9594</v>
      </c>
    </row>
    <row r="508" spans="1:11" ht="15.75">
      <c r="A508" s="5">
        <v>44646</v>
      </c>
      <c r="B508" s="6" t="s">
        <v>12</v>
      </c>
      <c r="C508" s="7">
        <v>13.63</v>
      </c>
      <c r="D508" s="7">
        <v>9.6999999999999993</v>
      </c>
      <c r="E508" s="8">
        <v>2790</v>
      </c>
      <c r="F508" s="6">
        <v>1810</v>
      </c>
      <c r="G508" s="6">
        <v>4840</v>
      </c>
      <c r="H508" s="9">
        <f t="shared" si="41"/>
        <v>9440</v>
      </c>
      <c r="I508" s="9">
        <v>0</v>
      </c>
      <c r="J508" s="9">
        <v>9440</v>
      </c>
      <c r="K508" s="10">
        <v>9903</v>
      </c>
    </row>
    <row r="509" spans="1:11" ht="15.75">
      <c r="A509" s="5">
        <v>44647</v>
      </c>
      <c r="B509" s="6" t="s">
        <v>12</v>
      </c>
      <c r="C509" s="7">
        <v>13.72</v>
      </c>
      <c r="D509" s="7">
        <v>10</v>
      </c>
      <c r="E509" s="8">
        <v>2790</v>
      </c>
      <c r="F509" s="6">
        <v>1810</v>
      </c>
      <c r="G509" s="6">
        <v>4840</v>
      </c>
      <c r="H509" s="9">
        <f t="shared" si="41"/>
        <v>9440</v>
      </c>
      <c r="I509" s="9">
        <v>0</v>
      </c>
      <c r="J509" s="9">
        <v>9440</v>
      </c>
      <c r="K509" s="9">
        <v>9981</v>
      </c>
    </row>
    <row r="510" spans="1:11" ht="15.75">
      <c r="A510" s="5">
        <v>44648</v>
      </c>
      <c r="B510" s="6" t="s">
        <v>12</v>
      </c>
      <c r="C510" s="7">
        <v>13.84</v>
      </c>
      <c r="D510" s="7">
        <v>10.4</v>
      </c>
      <c r="E510" s="8">
        <v>2790</v>
      </c>
      <c r="F510" s="6">
        <v>1810</v>
      </c>
      <c r="G510" s="6">
        <v>4840</v>
      </c>
      <c r="H510" s="9">
        <f t="shared" si="41"/>
        <v>9440</v>
      </c>
      <c r="I510" s="9">
        <v>0</v>
      </c>
      <c r="J510" s="9">
        <v>9440</v>
      </c>
      <c r="K510" s="9">
        <v>10520</v>
      </c>
    </row>
    <row r="511" spans="1:11" ht="15.75">
      <c r="A511" s="5">
        <v>44649</v>
      </c>
      <c r="B511" s="6" t="s">
        <v>12</v>
      </c>
      <c r="C511" s="7">
        <v>13.93</v>
      </c>
      <c r="D511" s="7">
        <v>10.7</v>
      </c>
      <c r="E511" s="8">
        <v>2870</v>
      </c>
      <c r="F511" s="6">
        <v>1870</v>
      </c>
      <c r="G511" s="6">
        <v>5000</v>
      </c>
      <c r="H511" s="9">
        <f t="shared" si="41"/>
        <v>9740</v>
      </c>
      <c r="I511" s="9">
        <v>0</v>
      </c>
      <c r="J511" s="9">
        <v>9740</v>
      </c>
      <c r="K511" s="9">
        <v>10435</v>
      </c>
    </row>
    <row r="512" spans="1:11" ht="15.75">
      <c r="A512" s="5">
        <v>44650</v>
      </c>
      <c r="B512" s="6" t="s">
        <v>12</v>
      </c>
      <c r="C512" s="7">
        <v>13.99</v>
      </c>
      <c r="D512" s="7">
        <v>10.9</v>
      </c>
      <c r="E512" s="8">
        <v>3040</v>
      </c>
      <c r="F512" s="6">
        <v>1980</v>
      </c>
      <c r="G512" s="6">
        <v>5280</v>
      </c>
      <c r="H512" s="9">
        <f t="shared" si="41"/>
        <v>10300</v>
      </c>
      <c r="I512" s="9">
        <v>0</v>
      </c>
      <c r="J512" s="9">
        <v>10300</v>
      </c>
      <c r="K512" s="9">
        <v>10763</v>
      </c>
    </row>
    <row r="513" spans="1:11" ht="15.75">
      <c r="A513" s="5">
        <v>44651</v>
      </c>
      <c r="B513" s="6" t="s">
        <v>12</v>
      </c>
      <c r="C513" s="7">
        <v>13.99</v>
      </c>
      <c r="D513" s="7">
        <v>10.9</v>
      </c>
      <c r="E513" s="8">
        <v>3150</v>
      </c>
      <c r="F513" s="6">
        <v>2050</v>
      </c>
      <c r="G513" s="6">
        <v>5500</v>
      </c>
      <c r="H513" s="14">
        <f t="shared" si="41"/>
        <v>10700</v>
      </c>
      <c r="I513" s="9">
        <v>0</v>
      </c>
      <c r="J513" s="9">
        <v>10700</v>
      </c>
      <c r="K513" s="9">
        <v>10700</v>
      </c>
    </row>
    <row r="514" spans="1:11" ht="15.75">
      <c r="A514" s="2" t="s">
        <v>13</v>
      </c>
      <c r="B514" s="2"/>
      <c r="C514" s="2"/>
      <c r="D514" s="2"/>
      <c r="E514" s="11">
        <f>SUM(E483:E513)</f>
        <v>85150</v>
      </c>
      <c r="F514" s="11">
        <f>SUM(F483:F513)</f>
        <v>55360</v>
      </c>
      <c r="G514" s="11">
        <f>SUM(G483:G513)</f>
        <v>148030</v>
      </c>
      <c r="H514" s="11">
        <f>SUM(H484:H513)</f>
        <v>277865</v>
      </c>
      <c r="I514" s="11">
        <f>SUM(I483:I513)</f>
        <v>0</v>
      </c>
      <c r="J514" s="11">
        <f>SUM(J483:J513)</f>
        <v>288550</v>
      </c>
      <c r="K514" s="11">
        <f>SUM(K483:K513)</f>
        <v>288555</v>
      </c>
    </row>
    <row r="515" spans="1:11" ht="15.75">
      <c r="A515" s="12"/>
      <c r="B515" s="2"/>
      <c r="C515" s="2"/>
      <c r="D515" s="2"/>
      <c r="E515" s="13">
        <f t="shared" ref="E515:K515" si="42">SUM(E514/11575)</f>
        <v>7.356371490280778</v>
      </c>
      <c r="F515" s="13">
        <f t="shared" si="42"/>
        <v>4.7827213822894166</v>
      </c>
      <c r="G515" s="13">
        <f t="shared" si="42"/>
        <v>12.78876889848812</v>
      </c>
      <c r="H515" s="13">
        <f t="shared" si="42"/>
        <v>24.005615550755941</v>
      </c>
      <c r="I515" s="13">
        <f t="shared" si="42"/>
        <v>0</v>
      </c>
      <c r="J515" s="13">
        <f t="shared" si="42"/>
        <v>24.928725701943844</v>
      </c>
      <c r="K515" s="13">
        <f t="shared" si="42"/>
        <v>24.929157667386608</v>
      </c>
    </row>
    <row r="516" spans="1:11" ht="15.75">
      <c r="A516" s="1" t="s">
        <v>34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47.25">
      <c r="A517" s="2" t="s">
        <v>1</v>
      </c>
      <c r="B517" s="2" t="s">
        <v>2</v>
      </c>
      <c r="C517" s="3" t="s">
        <v>18</v>
      </c>
      <c r="D517" s="3" t="s">
        <v>4</v>
      </c>
      <c r="E517" s="3" t="s">
        <v>5</v>
      </c>
      <c r="F517" s="3" t="s">
        <v>6</v>
      </c>
      <c r="G517" s="3" t="s">
        <v>7</v>
      </c>
      <c r="H517" s="3" t="s">
        <v>8</v>
      </c>
      <c r="I517" s="3" t="s">
        <v>9</v>
      </c>
      <c r="J517" s="3" t="s">
        <v>19</v>
      </c>
      <c r="K517" s="4" t="s">
        <v>11</v>
      </c>
    </row>
    <row r="518" spans="1:11" ht="15.75">
      <c r="A518" s="5">
        <v>44652</v>
      </c>
      <c r="B518" s="6" t="s">
        <v>12</v>
      </c>
      <c r="C518" s="7">
        <v>13.99</v>
      </c>
      <c r="D518" s="7">
        <v>10.9</v>
      </c>
      <c r="E518" s="8">
        <v>3150</v>
      </c>
      <c r="F518" s="8">
        <v>2050</v>
      </c>
      <c r="G518" s="8">
        <v>5500</v>
      </c>
      <c r="H518" s="14">
        <f t="shared" ref="H518:H547" si="43">E518+F518+G518</f>
        <v>10700</v>
      </c>
      <c r="I518" s="9">
        <v>0</v>
      </c>
      <c r="J518" s="9">
        <v>10700</v>
      </c>
      <c r="K518" s="10">
        <v>10700</v>
      </c>
    </row>
    <row r="519" spans="1:11" ht="15.75">
      <c r="A519" s="5">
        <v>44653</v>
      </c>
      <c r="B519" s="6" t="s">
        <v>12</v>
      </c>
      <c r="C519" s="7">
        <v>13.99</v>
      </c>
      <c r="D519" s="7">
        <v>10.9</v>
      </c>
      <c r="E519" s="8">
        <v>3440</v>
      </c>
      <c r="F519" s="6">
        <v>2230</v>
      </c>
      <c r="G519" s="8">
        <v>6000</v>
      </c>
      <c r="H519" s="14">
        <f t="shared" si="43"/>
        <v>11670</v>
      </c>
      <c r="I519" s="9">
        <v>0</v>
      </c>
      <c r="J519" s="9">
        <v>11670</v>
      </c>
      <c r="K519" s="10">
        <v>11670</v>
      </c>
    </row>
    <row r="520" spans="1:11" ht="15.75">
      <c r="A520" s="5">
        <v>44654</v>
      </c>
      <c r="B520" s="6" t="s">
        <v>12</v>
      </c>
      <c r="C520" s="7">
        <v>13.99</v>
      </c>
      <c r="D520" s="7">
        <v>10.9</v>
      </c>
      <c r="E520" s="8">
        <v>3780</v>
      </c>
      <c r="F520" s="6">
        <v>2460</v>
      </c>
      <c r="G520" s="8">
        <v>6570</v>
      </c>
      <c r="H520" s="14">
        <f t="shared" si="43"/>
        <v>12810</v>
      </c>
      <c r="I520" s="9">
        <v>0</v>
      </c>
      <c r="J520" s="9">
        <v>12810</v>
      </c>
      <c r="K520" s="10">
        <v>12810</v>
      </c>
    </row>
    <row r="521" spans="1:11" ht="15.75">
      <c r="A521" s="5">
        <v>44655</v>
      </c>
      <c r="B521" s="6" t="s">
        <v>12</v>
      </c>
      <c r="C521" s="7">
        <v>13.99</v>
      </c>
      <c r="D521" s="7">
        <v>10.9</v>
      </c>
      <c r="E521" s="8">
        <v>3780</v>
      </c>
      <c r="F521" s="6">
        <v>2360</v>
      </c>
      <c r="G521" s="8">
        <v>6000</v>
      </c>
      <c r="H521" s="14">
        <f t="shared" si="43"/>
        <v>12140</v>
      </c>
      <c r="I521" s="9">
        <v>0</v>
      </c>
      <c r="J521" s="9">
        <v>12140</v>
      </c>
      <c r="K521" s="10">
        <v>12140</v>
      </c>
    </row>
    <row r="522" spans="1:11" ht="15.75">
      <c r="A522" s="5">
        <v>44656</v>
      </c>
      <c r="B522" s="6" t="s">
        <v>12</v>
      </c>
      <c r="C522" s="7">
        <v>13.95</v>
      </c>
      <c r="D522" s="7">
        <v>10.75</v>
      </c>
      <c r="E522" s="8">
        <v>3150</v>
      </c>
      <c r="F522" s="6">
        <v>2050</v>
      </c>
      <c r="G522" s="8">
        <v>5500</v>
      </c>
      <c r="H522" s="14">
        <f t="shared" si="43"/>
        <v>10700</v>
      </c>
      <c r="I522" s="9">
        <v>0</v>
      </c>
      <c r="J522" s="9">
        <v>10700</v>
      </c>
      <c r="K522" s="9">
        <v>10315</v>
      </c>
    </row>
    <row r="523" spans="1:11" ht="15.75">
      <c r="A523" s="5">
        <v>44657</v>
      </c>
      <c r="B523" s="6" t="s">
        <v>12</v>
      </c>
      <c r="C523" s="7">
        <v>13.95</v>
      </c>
      <c r="D523" s="7">
        <v>10.75</v>
      </c>
      <c r="E523" s="8">
        <v>3150</v>
      </c>
      <c r="F523" s="6">
        <v>2050</v>
      </c>
      <c r="G523" s="8">
        <v>5500</v>
      </c>
      <c r="H523" s="14">
        <f t="shared" si="43"/>
        <v>10700</v>
      </c>
      <c r="I523" s="9">
        <v>0</v>
      </c>
      <c r="J523" s="9">
        <v>10700</v>
      </c>
      <c r="K523" s="10">
        <v>10700</v>
      </c>
    </row>
    <row r="524" spans="1:11" ht="15.75">
      <c r="A524" s="5">
        <v>44658</v>
      </c>
      <c r="B524" s="6" t="s">
        <v>12</v>
      </c>
      <c r="C524" s="7">
        <v>13.92</v>
      </c>
      <c r="D524" s="7">
        <v>10.65</v>
      </c>
      <c r="E524" s="8">
        <v>3500</v>
      </c>
      <c r="F524" s="6">
        <v>2050</v>
      </c>
      <c r="G524" s="8">
        <v>5500</v>
      </c>
      <c r="H524" s="14">
        <f t="shared" si="43"/>
        <v>11050</v>
      </c>
      <c r="I524" s="9">
        <v>0</v>
      </c>
      <c r="J524" s="9">
        <v>11050</v>
      </c>
      <c r="K524" s="10">
        <v>10818</v>
      </c>
    </row>
    <row r="525" spans="1:11" ht="15.75">
      <c r="A525" s="5">
        <v>44659</v>
      </c>
      <c r="B525" s="6" t="s">
        <v>12</v>
      </c>
      <c r="C525" s="7">
        <v>13.9</v>
      </c>
      <c r="D525" s="7">
        <v>10.6</v>
      </c>
      <c r="E525" s="8">
        <v>3500</v>
      </c>
      <c r="F525" s="6">
        <v>2050</v>
      </c>
      <c r="G525" s="8">
        <v>5500</v>
      </c>
      <c r="H525" s="14">
        <f t="shared" si="43"/>
        <v>11050</v>
      </c>
      <c r="I525" s="9">
        <v>0</v>
      </c>
      <c r="J525" s="9">
        <v>11050</v>
      </c>
      <c r="K525" s="10">
        <v>10972</v>
      </c>
    </row>
    <row r="526" spans="1:11" ht="15.75">
      <c r="A526" s="5">
        <v>44660</v>
      </c>
      <c r="B526" s="6" t="s">
        <v>12</v>
      </c>
      <c r="C526" s="7">
        <v>13.87</v>
      </c>
      <c r="D526" s="7">
        <v>10.5</v>
      </c>
      <c r="E526" s="8">
        <v>3500</v>
      </c>
      <c r="F526" s="6">
        <v>2050</v>
      </c>
      <c r="G526" s="8">
        <v>5500</v>
      </c>
      <c r="H526" s="14">
        <f t="shared" si="43"/>
        <v>11050</v>
      </c>
      <c r="I526" s="9">
        <v>0</v>
      </c>
      <c r="J526" s="9">
        <v>11050</v>
      </c>
      <c r="K526" s="10">
        <v>10818</v>
      </c>
    </row>
    <row r="527" spans="1:11" ht="15.75">
      <c r="A527" s="5">
        <v>44661</v>
      </c>
      <c r="B527" s="6" t="s">
        <v>12</v>
      </c>
      <c r="C527" s="7">
        <v>13.87</v>
      </c>
      <c r="D527" s="7">
        <v>10.5</v>
      </c>
      <c r="E527" s="8">
        <v>3500</v>
      </c>
      <c r="F527" s="6">
        <v>2050</v>
      </c>
      <c r="G527" s="8">
        <v>4000</v>
      </c>
      <c r="H527" s="14">
        <f t="shared" si="43"/>
        <v>9550</v>
      </c>
      <c r="I527" s="9">
        <v>0</v>
      </c>
      <c r="J527" s="10">
        <v>9550</v>
      </c>
      <c r="K527" s="16">
        <v>9550</v>
      </c>
    </row>
    <row r="528" spans="1:11" ht="15.75">
      <c r="A528" s="5">
        <v>44662</v>
      </c>
      <c r="B528" s="6" t="s">
        <v>12</v>
      </c>
      <c r="C528" s="7">
        <v>13.87</v>
      </c>
      <c r="D528" s="7">
        <v>10.5</v>
      </c>
      <c r="E528" s="8">
        <v>3500</v>
      </c>
      <c r="F528" s="6">
        <v>2050</v>
      </c>
      <c r="G528" s="8">
        <v>4000</v>
      </c>
      <c r="H528" s="14">
        <f t="shared" si="43"/>
        <v>9550</v>
      </c>
      <c r="I528" s="9">
        <v>0</v>
      </c>
      <c r="J528" s="9">
        <v>9550</v>
      </c>
      <c r="K528" s="10">
        <v>9550</v>
      </c>
    </row>
    <row r="529" spans="1:11" ht="15.75">
      <c r="A529" s="5">
        <v>44663</v>
      </c>
      <c r="B529" s="6" t="s">
        <v>12</v>
      </c>
      <c r="C529" s="7">
        <v>13.84</v>
      </c>
      <c r="D529" s="7">
        <v>10.4</v>
      </c>
      <c r="E529" s="8">
        <v>3500</v>
      </c>
      <c r="F529" s="8">
        <v>2050</v>
      </c>
      <c r="G529" s="6">
        <v>4500</v>
      </c>
      <c r="H529" s="14">
        <f t="shared" si="43"/>
        <v>10050</v>
      </c>
      <c r="I529" s="9">
        <v>0</v>
      </c>
      <c r="J529" s="9">
        <v>10050</v>
      </c>
      <c r="K529" s="10">
        <v>9818</v>
      </c>
    </row>
    <row r="530" spans="1:11" ht="15.75">
      <c r="A530" s="5">
        <v>44664</v>
      </c>
      <c r="B530" s="6" t="s">
        <v>12</v>
      </c>
      <c r="C530" s="7">
        <v>13.78</v>
      </c>
      <c r="D530" s="7">
        <v>10.199999999999999</v>
      </c>
      <c r="E530" s="8">
        <v>3500</v>
      </c>
      <c r="F530" s="6">
        <v>2050</v>
      </c>
      <c r="G530" s="8">
        <v>4500</v>
      </c>
      <c r="H530" s="14">
        <f t="shared" si="43"/>
        <v>10050</v>
      </c>
      <c r="I530" s="9">
        <v>0</v>
      </c>
      <c r="J530" s="9">
        <v>10050</v>
      </c>
      <c r="K530" s="10">
        <v>9587</v>
      </c>
    </row>
    <row r="531" spans="1:11" ht="15.75">
      <c r="A531" s="5">
        <v>44665</v>
      </c>
      <c r="B531" s="6" t="s">
        <v>12</v>
      </c>
      <c r="C531" s="7">
        <v>13.72</v>
      </c>
      <c r="D531" s="7">
        <v>10</v>
      </c>
      <c r="E531" s="8">
        <v>3500</v>
      </c>
      <c r="F531" s="6">
        <v>2050</v>
      </c>
      <c r="G531" s="6">
        <v>4500</v>
      </c>
      <c r="H531" s="14">
        <f t="shared" si="43"/>
        <v>10050</v>
      </c>
      <c r="I531" s="9">
        <v>0</v>
      </c>
      <c r="J531" s="9">
        <v>10050</v>
      </c>
      <c r="K531" s="10">
        <v>9587</v>
      </c>
    </row>
    <row r="532" spans="1:11" ht="15.75">
      <c r="A532" s="5">
        <v>44666</v>
      </c>
      <c r="B532" s="6" t="s">
        <v>12</v>
      </c>
      <c r="C532" s="7">
        <v>13.64</v>
      </c>
      <c r="D532" s="7">
        <v>9.75</v>
      </c>
      <c r="E532" s="8">
        <v>3500</v>
      </c>
      <c r="F532" s="6">
        <v>2050</v>
      </c>
      <c r="G532" s="6">
        <v>4500</v>
      </c>
      <c r="H532" s="14">
        <f t="shared" si="43"/>
        <v>10050</v>
      </c>
      <c r="I532" s="9">
        <v>0</v>
      </c>
      <c r="J532" s="9">
        <v>10050</v>
      </c>
      <c r="K532" s="10">
        <v>9433</v>
      </c>
    </row>
    <row r="533" spans="1:11" ht="15.75">
      <c r="A533" s="5">
        <v>44667</v>
      </c>
      <c r="B533" s="6" t="s">
        <v>12</v>
      </c>
      <c r="C533" s="7">
        <v>13.55</v>
      </c>
      <c r="D533" s="7">
        <v>9.4499999999999993</v>
      </c>
      <c r="E533" s="8">
        <v>3500</v>
      </c>
      <c r="F533" s="6">
        <v>2050</v>
      </c>
      <c r="G533" s="6">
        <v>4500</v>
      </c>
      <c r="H533" s="14">
        <f t="shared" si="43"/>
        <v>10050</v>
      </c>
      <c r="I533" s="9">
        <v>0</v>
      </c>
      <c r="J533" s="9">
        <v>10050</v>
      </c>
      <c r="K533" s="10">
        <v>9355</v>
      </c>
    </row>
    <row r="534" spans="1:11" ht="15.75">
      <c r="A534" s="5">
        <v>44668</v>
      </c>
      <c r="B534" s="6" t="s">
        <v>12</v>
      </c>
      <c r="C534" s="7">
        <v>13.49</v>
      </c>
      <c r="D534" s="7">
        <v>9.25</v>
      </c>
      <c r="E534" s="8">
        <v>3500</v>
      </c>
      <c r="F534" s="6">
        <v>2050</v>
      </c>
      <c r="G534" s="6">
        <v>4000</v>
      </c>
      <c r="H534" s="14">
        <f t="shared" si="43"/>
        <v>9550</v>
      </c>
      <c r="I534" s="9">
        <v>0</v>
      </c>
      <c r="J534" s="9">
        <v>9550</v>
      </c>
      <c r="K534" s="10">
        <v>9087</v>
      </c>
    </row>
    <row r="535" spans="1:11" ht="15.75">
      <c r="A535" s="5">
        <v>44669</v>
      </c>
      <c r="B535" s="6" t="s">
        <v>12</v>
      </c>
      <c r="C535" s="7">
        <v>13.43</v>
      </c>
      <c r="D535" s="7">
        <v>9.0500000000000007</v>
      </c>
      <c r="E535" s="8">
        <v>3500</v>
      </c>
      <c r="F535" s="6">
        <v>2050</v>
      </c>
      <c r="G535" s="6">
        <v>4000</v>
      </c>
      <c r="H535" s="14">
        <f t="shared" si="43"/>
        <v>9550</v>
      </c>
      <c r="I535" s="9">
        <v>0</v>
      </c>
      <c r="J535" s="9">
        <v>9550</v>
      </c>
      <c r="K535" s="10">
        <v>9087</v>
      </c>
    </row>
    <row r="536" spans="1:11" ht="15.75">
      <c r="A536" s="5">
        <v>44670</v>
      </c>
      <c r="B536" s="6" t="s">
        <v>12</v>
      </c>
      <c r="C536" s="7">
        <v>13.4</v>
      </c>
      <c r="D536" s="7">
        <v>8.9499999999999993</v>
      </c>
      <c r="E536" s="8">
        <v>3000</v>
      </c>
      <c r="F536" s="6">
        <v>2050</v>
      </c>
      <c r="G536" s="6">
        <v>3500</v>
      </c>
      <c r="H536" s="14">
        <f t="shared" si="43"/>
        <v>8550</v>
      </c>
      <c r="I536" s="9">
        <v>0</v>
      </c>
      <c r="J536" s="9">
        <v>8550</v>
      </c>
      <c r="K536" s="10">
        <v>8318</v>
      </c>
    </row>
    <row r="537" spans="1:11" ht="15.75">
      <c r="A537" s="5">
        <v>44671</v>
      </c>
      <c r="B537" s="6" t="s">
        <v>12</v>
      </c>
      <c r="C537" s="7">
        <v>13.38</v>
      </c>
      <c r="D537" s="7">
        <v>8.9</v>
      </c>
      <c r="E537" s="8">
        <v>2500</v>
      </c>
      <c r="F537" s="6">
        <v>2050</v>
      </c>
      <c r="G537" s="6">
        <v>3500</v>
      </c>
      <c r="H537" s="14">
        <f t="shared" si="43"/>
        <v>8050</v>
      </c>
      <c r="I537" s="9">
        <v>0</v>
      </c>
      <c r="J537" s="9">
        <v>8050</v>
      </c>
      <c r="K537" s="10">
        <v>7896</v>
      </c>
    </row>
    <row r="538" spans="1:11" ht="15.75">
      <c r="A538" s="5">
        <v>44672</v>
      </c>
      <c r="B538" s="6" t="s">
        <v>12</v>
      </c>
      <c r="C538" s="7">
        <v>13.38</v>
      </c>
      <c r="D538" s="7">
        <v>8.9</v>
      </c>
      <c r="E538" s="8">
        <v>2500</v>
      </c>
      <c r="F538" s="6">
        <v>2050</v>
      </c>
      <c r="G538" s="6">
        <v>2500</v>
      </c>
      <c r="H538" s="14">
        <f t="shared" si="43"/>
        <v>7050</v>
      </c>
      <c r="I538" s="9">
        <v>0</v>
      </c>
      <c r="J538" s="9">
        <v>7050</v>
      </c>
      <c r="K538" s="10">
        <v>7050</v>
      </c>
    </row>
    <row r="539" spans="1:11" ht="15.75">
      <c r="A539" s="5">
        <v>44673</v>
      </c>
      <c r="B539" s="6" t="s">
        <v>12</v>
      </c>
      <c r="C539" s="7">
        <v>13.41</v>
      </c>
      <c r="D539" s="7">
        <v>9</v>
      </c>
      <c r="E539" s="8">
        <v>2500</v>
      </c>
      <c r="F539" s="6">
        <v>1850</v>
      </c>
      <c r="G539" s="6">
        <v>2500</v>
      </c>
      <c r="H539" s="14">
        <f t="shared" si="43"/>
        <v>6850</v>
      </c>
      <c r="I539" s="9">
        <v>0</v>
      </c>
      <c r="J539" s="9">
        <v>6850</v>
      </c>
      <c r="K539" s="10">
        <v>7082</v>
      </c>
    </row>
    <row r="540" spans="1:11" ht="15.75">
      <c r="A540" s="5">
        <v>44674</v>
      </c>
      <c r="B540" s="6" t="s">
        <v>12</v>
      </c>
      <c r="C540" s="7">
        <v>13.46</v>
      </c>
      <c r="D540" s="7">
        <v>9.15</v>
      </c>
      <c r="E540" s="8">
        <v>2000</v>
      </c>
      <c r="F540" s="6">
        <v>1750</v>
      </c>
      <c r="G540" s="6">
        <v>2500</v>
      </c>
      <c r="H540" s="14">
        <f t="shared" si="43"/>
        <v>6250</v>
      </c>
      <c r="I540" s="9">
        <v>0</v>
      </c>
      <c r="J540" s="9">
        <v>6250</v>
      </c>
      <c r="K540" s="10">
        <v>6635</v>
      </c>
    </row>
    <row r="541" spans="1:11" ht="15.75">
      <c r="A541" s="5">
        <v>44675</v>
      </c>
      <c r="B541" s="6" t="s">
        <v>12</v>
      </c>
      <c r="C541" s="7">
        <v>13.53</v>
      </c>
      <c r="D541" s="7">
        <v>9.4</v>
      </c>
      <c r="E541" s="8">
        <v>2000</v>
      </c>
      <c r="F541" s="6">
        <v>1750</v>
      </c>
      <c r="G541" s="6">
        <v>2500</v>
      </c>
      <c r="H541" s="14">
        <f t="shared" si="43"/>
        <v>6250</v>
      </c>
      <c r="I541" s="9">
        <v>0</v>
      </c>
      <c r="J541" s="9">
        <v>6250</v>
      </c>
      <c r="K541" s="10">
        <v>6791</v>
      </c>
    </row>
    <row r="542" spans="1:11" ht="15.75">
      <c r="A542" s="5">
        <v>44676</v>
      </c>
      <c r="B542" s="6" t="s">
        <v>12</v>
      </c>
      <c r="C542" s="7">
        <v>13.6</v>
      </c>
      <c r="D542" s="7">
        <v>9.6</v>
      </c>
      <c r="E542" s="8">
        <v>1700</v>
      </c>
      <c r="F542" s="6">
        <v>1750</v>
      </c>
      <c r="G542" s="6">
        <v>2500</v>
      </c>
      <c r="H542" s="14">
        <f t="shared" si="43"/>
        <v>5950</v>
      </c>
      <c r="I542" s="9">
        <v>0</v>
      </c>
      <c r="J542" s="9">
        <v>5950</v>
      </c>
      <c r="K542" s="10">
        <v>6489</v>
      </c>
    </row>
    <row r="543" spans="1:11" ht="15.75">
      <c r="A543" s="5">
        <v>44677</v>
      </c>
      <c r="B543" s="6" t="s">
        <v>12</v>
      </c>
      <c r="C543" s="7">
        <v>13.64</v>
      </c>
      <c r="D543" s="7">
        <v>9.75</v>
      </c>
      <c r="E543" s="8">
        <v>1700</v>
      </c>
      <c r="F543" s="6">
        <v>1750</v>
      </c>
      <c r="G543" s="6">
        <v>2500</v>
      </c>
      <c r="H543" s="14">
        <f t="shared" si="43"/>
        <v>5950</v>
      </c>
      <c r="I543" s="9">
        <v>0</v>
      </c>
      <c r="J543" s="9">
        <v>5950</v>
      </c>
      <c r="K543" s="10">
        <v>6259</v>
      </c>
    </row>
    <row r="544" spans="1:11" ht="15.75">
      <c r="A544" s="5">
        <v>44678</v>
      </c>
      <c r="B544" s="6" t="s">
        <v>12</v>
      </c>
      <c r="C544" s="7">
        <v>13.69</v>
      </c>
      <c r="D544" s="7">
        <v>9.9</v>
      </c>
      <c r="E544" s="8">
        <v>1400</v>
      </c>
      <c r="F544" s="6">
        <v>1600</v>
      </c>
      <c r="G544" s="6">
        <v>2500</v>
      </c>
      <c r="H544" s="14">
        <f t="shared" si="43"/>
        <v>5500</v>
      </c>
      <c r="I544" s="9">
        <v>0</v>
      </c>
      <c r="J544" s="9">
        <v>5500</v>
      </c>
      <c r="K544" s="9">
        <v>5885</v>
      </c>
    </row>
    <row r="545" spans="1:11" ht="15.75">
      <c r="A545" s="5">
        <v>44679</v>
      </c>
      <c r="B545" s="6" t="s">
        <v>12</v>
      </c>
      <c r="C545" s="7">
        <v>13.75</v>
      </c>
      <c r="D545" s="7">
        <v>10.1</v>
      </c>
      <c r="E545" s="8">
        <v>1000</v>
      </c>
      <c r="F545" s="6">
        <v>1400</v>
      </c>
      <c r="G545" s="6">
        <v>3000</v>
      </c>
      <c r="H545" s="14">
        <f t="shared" si="43"/>
        <v>5400</v>
      </c>
      <c r="I545" s="9">
        <v>0</v>
      </c>
      <c r="J545" s="9">
        <v>5400</v>
      </c>
      <c r="K545" s="9">
        <v>5863</v>
      </c>
    </row>
    <row r="546" spans="1:11" ht="15.75">
      <c r="A546" s="5">
        <v>44680</v>
      </c>
      <c r="B546" s="6" t="s">
        <v>12</v>
      </c>
      <c r="C546" s="7">
        <v>13.79</v>
      </c>
      <c r="D546" s="7">
        <v>10.25</v>
      </c>
      <c r="E546" s="8">
        <v>1000</v>
      </c>
      <c r="F546" s="6">
        <v>1400</v>
      </c>
      <c r="G546" s="6">
        <v>3500</v>
      </c>
      <c r="H546" s="14">
        <f t="shared" si="43"/>
        <v>5900</v>
      </c>
      <c r="I546" s="9">
        <v>0</v>
      </c>
      <c r="J546" s="9">
        <v>5900</v>
      </c>
      <c r="K546" s="9">
        <v>6209</v>
      </c>
    </row>
    <row r="547" spans="1:11" ht="15.75">
      <c r="A547" s="5">
        <v>44681</v>
      </c>
      <c r="B547" s="6" t="s">
        <v>12</v>
      </c>
      <c r="C547" s="7">
        <v>13.84</v>
      </c>
      <c r="D547" s="7">
        <v>10.4</v>
      </c>
      <c r="E547" s="8">
        <v>1000</v>
      </c>
      <c r="F547" s="6">
        <v>1000</v>
      </c>
      <c r="G547" s="6">
        <v>3500</v>
      </c>
      <c r="H547" s="14">
        <f t="shared" si="43"/>
        <v>5500</v>
      </c>
      <c r="I547" s="9">
        <v>0</v>
      </c>
      <c r="J547" s="9">
        <v>5500</v>
      </c>
      <c r="K547" s="9">
        <v>5885</v>
      </c>
    </row>
    <row r="548" spans="1:11" ht="15.75">
      <c r="A548" s="2" t="s">
        <v>13</v>
      </c>
      <c r="B548" s="2"/>
      <c r="C548" s="2"/>
      <c r="D548" s="2"/>
      <c r="E548" s="11">
        <f>SUM(E518:E547)</f>
        <v>84750</v>
      </c>
      <c r="F548" s="11">
        <f>SUM(F518:F547)</f>
        <v>58200</v>
      </c>
      <c r="G548" s="11">
        <f>SUM(G518:G547)</f>
        <v>124570</v>
      </c>
      <c r="H548" s="11">
        <f>SUM(H519:H547)</f>
        <v>256820</v>
      </c>
      <c r="I548" s="11">
        <f>SUM(I518:I547)</f>
        <v>0</v>
      </c>
      <c r="J548" s="11">
        <f>SUM(J518:J547)</f>
        <v>267520</v>
      </c>
      <c r="K548" s="11">
        <f>SUM(K518:K547)</f>
        <v>266359</v>
      </c>
    </row>
    <row r="549" spans="1:11" ht="15.75">
      <c r="A549" s="12"/>
      <c r="B549" s="2"/>
      <c r="C549" s="2"/>
      <c r="D549" s="2"/>
      <c r="E549" s="13">
        <f t="shared" ref="E549:K549" si="44">SUM(E548/11575)</f>
        <v>7.3218142548596115</v>
      </c>
      <c r="F549" s="13">
        <f t="shared" si="44"/>
        <v>5.0280777537796979</v>
      </c>
      <c r="G549" s="13">
        <f t="shared" si="44"/>
        <v>10.761987041036717</v>
      </c>
      <c r="H549" s="13">
        <f>SUM(E549:G549)</f>
        <v>23.111879049676027</v>
      </c>
      <c r="I549" s="13">
        <f t="shared" si="44"/>
        <v>0</v>
      </c>
      <c r="J549" s="13">
        <f t="shared" si="44"/>
        <v>23.111879049676027</v>
      </c>
      <c r="K549" s="13">
        <f t="shared" si="44"/>
        <v>23.011576673866092</v>
      </c>
    </row>
    <row r="550" spans="1:11" ht="15.75">
      <c r="A550" s="1" t="s">
        <v>35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47.25">
      <c r="A551" s="2" t="s">
        <v>1</v>
      </c>
      <c r="B551" s="2" t="s">
        <v>2</v>
      </c>
      <c r="C551" s="3" t="s">
        <v>18</v>
      </c>
      <c r="D551" s="3" t="s">
        <v>4</v>
      </c>
      <c r="E551" s="3" t="s">
        <v>5</v>
      </c>
      <c r="F551" s="3" t="s">
        <v>6</v>
      </c>
      <c r="G551" s="3" t="s">
        <v>7</v>
      </c>
      <c r="H551" s="3" t="s">
        <v>8</v>
      </c>
      <c r="I551" s="3" t="s">
        <v>9</v>
      </c>
      <c r="J551" s="3" t="s">
        <v>19</v>
      </c>
      <c r="K551" s="4" t="s">
        <v>11</v>
      </c>
    </row>
    <row r="552" spans="1:11" ht="15.75">
      <c r="A552" s="5">
        <v>44682</v>
      </c>
      <c r="B552" s="6" t="s">
        <v>12</v>
      </c>
      <c r="C552" s="7">
        <v>13.93</v>
      </c>
      <c r="D552" s="7">
        <v>10.7</v>
      </c>
      <c r="E552" s="8">
        <v>0</v>
      </c>
      <c r="F552" s="8">
        <v>1000</v>
      </c>
      <c r="G552" s="8">
        <v>0</v>
      </c>
      <c r="H552" s="9">
        <f t="shared" ref="H552:H582" si="45">E552+F552+G552</f>
        <v>1000</v>
      </c>
      <c r="I552" s="9">
        <v>0</v>
      </c>
      <c r="J552" s="9">
        <v>1000</v>
      </c>
      <c r="K552" s="10">
        <v>1695</v>
      </c>
    </row>
    <row r="553" spans="1:11" ht="15.75">
      <c r="A553" s="5">
        <v>44683</v>
      </c>
      <c r="B553" s="6" t="s">
        <v>12</v>
      </c>
      <c r="C553" s="7">
        <v>13.99</v>
      </c>
      <c r="D553" s="7">
        <v>10.9</v>
      </c>
      <c r="E553" s="8">
        <v>500</v>
      </c>
      <c r="F553" s="6">
        <v>1000</v>
      </c>
      <c r="G553" s="8">
        <v>1000</v>
      </c>
      <c r="H553" s="9">
        <f t="shared" si="45"/>
        <v>2500</v>
      </c>
      <c r="I553" s="9">
        <v>0</v>
      </c>
      <c r="J553" s="9">
        <v>2500</v>
      </c>
      <c r="K553" s="10">
        <v>2963</v>
      </c>
    </row>
    <row r="554" spans="1:11" ht="15.75">
      <c r="A554" s="5">
        <v>44684</v>
      </c>
      <c r="B554" s="6" t="s">
        <v>12</v>
      </c>
      <c r="C554" s="7">
        <v>13.99</v>
      </c>
      <c r="D554" s="7">
        <v>10.9</v>
      </c>
      <c r="E554" s="8">
        <v>300</v>
      </c>
      <c r="F554" s="6">
        <v>1000</v>
      </c>
      <c r="G554" s="8">
        <v>1000</v>
      </c>
      <c r="H554" s="9">
        <f t="shared" si="45"/>
        <v>2300</v>
      </c>
      <c r="I554" s="9">
        <v>4772</v>
      </c>
      <c r="J554" s="9">
        <v>7072</v>
      </c>
      <c r="K554" s="10">
        <v>7072</v>
      </c>
    </row>
    <row r="555" spans="1:11" ht="15.75">
      <c r="A555" s="5">
        <v>44685</v>
      </c>
      <c r="B555" s="6" t="s">
        <v>12</v>
      </c>
      <c r="C555" s="7">
        <v>13.99</v>
      </c>
      <c r="D555" s="7">
        <v>10.9</v>
      </c>
      <c r="E555" s="8">
        <v>300</v>
      </c>
      <c r="F555" s="6">
        <v>700</v>
      </c>
      <c r="G555" s="8">
        <v>0</v>
      </c>
      <c r="H555" s="9">
        <f t="shared" si="45"/>
        <v>1000</v>
      </c>
      <c r="I555" s="9">
        <v>4772</v>
      </c>
      <c r="J555" s="9">
        <v>5772</v>
      </c>
      <c r="K555" s="10">
        <v>5772</v>
      </c>
    </row>
    <row r="556" spans="1:11" ht="15.75">
      <c r="A556" s="5">
        <v>44686</v>
      </c>
      <c r="B556" s="6" t="s">
        <v>12</v>
      </c>
      <c r="C556" s="7">
        <v>13.99</v>
      </c>
      <c r="D556" s="7">
        <v>10.9</v>
      </c>
      <c r="E556" s="8">
        <v>0</v>
      </c>
      <c r="F556" s="6">
        <v>0</v>
      </c>
      <c r="G556" s="8">
        <v>0</v>
      </c>
      <c r="H556" s="9">
        <f t="shared" si="45"/>
        <v>0</v>
      </c>
      <c r="I556" s="9">
        <v>4768</v>
      </c>
      <c r="J556" s="9">
        <v>4768</v>
      </c>
      <c r="K556" s="9">
        <v>4768</v>
      </c>
    </row>
    <row r="557" spans="1:11" ht="15.75">
      <c r="A557" s="5">
        <v>44687</v>
      </c>
      <c r="B557" s="6" t="s">
        <v>12</v>
      </c>
      <c r="C557" s="7">
        <v>13.84</v>
      </c>
      <c r="D557" s="7">
        <v>10.4</v>
      </c>
      <c r="E557" s="8">
        <v>0</v>
      </c>
      <c r="F557" s="6">
        <v>0</v>
      </c>
      <c r="G557" s="8">
        <v>0</v>
      </c>
      <c r="H557" s="9">
        <f t="shared" si="45"/>
        <v>0</v>
      </c>
      <c r="I557" s="9">
        <v>9275</v>
      </c>
      <c r="J557" s="9">
        <v>9275</v>
      </c>
      <c r="K557" s="10">
        <v>8117</v>
      </c>
    </row>
    <row r="558" spans="1:11" ht="15.75">
      <c r="A558" s="5">
        <v>44688</v>
      </c>
      <c r="B558" s="6" t="s">
        <v>12</v>
      </c>
      <c r="C558" s="7">
        <v>13.75</v>
      </c>
      <c r="D558" s="7">
        <v>10.1</v>
      </c>
      <c r="E558" s="8">
        <v>0</v>
      </c>
      <c r="F558" s="6">
        <v>0</v>
      </c>
      <c r="G558" s="8">
        <v>0</v>
      </c>
      <c r="H558" s="9">
        <f t="shared" si="45"/>
        <v>0</v>
      </c>
      <c r="I558" s="9">
        <v>4562</v>
      </c>
      <c r="J558" s="9">
        <v>4562</v>
      </c>
      <c r="K558" s="10">
        <v>3867</v>
      </c>
    </row>
    <row r="559" spans="1:11" ht="15.75">
      <c r="A559" s="5">
        <v>44689</v>
      </c>
      <c r="B559" s="6" t="s">
        <v>12</v>
      </c>
      <c r="C559" s="7">
        <v>13.76</v>
      </c>
      <c r="D559" s="7">
        <v>10.15</v>
      </c>
      <c r="E559" s="8">
        <v>0</v>
      </c>
      <c r="F559" s="6">
        <v>0</v>
      </c>
      <c r="G559" s="8">
        <v>0</v>
      </c>
      <c r="H559" s="9">
        <f t="shared" si="45"/>
        <v>0</v>
      </c>
      <c r="I559" s="9">
        <v>4574</v>
      </c>
      <c r="J559" s="9">
        <v>4574</v>
      </c>
      <c r="K559" s="10">
        <v>4652</v>
      </c>
    </row>
    <row r="560" spans="1:11" ht="15.75">
      <c r="A560" s="5">
        <v>44690</v>
      </c>
      <c r="B560" s="6" t="s">
        <v>12</v>
      </c>
      <c r="C560" s="7">
        <v>13.78</v>
      </c>
      <c r="D560" s="7">
        <v>10.199999999999999</v>
      </c>
      <c r="E560" s="8">
        <v>0</v>
      </c>
      <c r="F560" s="6">
        <v>0</v>
      </c>
      <c r="G560" s="8">
        <v>0</v>
      </c>
      <c r="H560" s="9">
        <f t="shared" si="45"/>
        <v>0</v>
      </c>
      <c r="I560" s="9">
        <v>4598</v>
      </c>
      <c r="J560" s="9">
        <v>4598</v>
      </c>
      <c r="K560" s="10">
        <v>4752</v>
      </c>
    </row>
    <row r="561" spans="1:11" ht="15.75">
      <c r="A561" s="5">
        <v>44691</v>
      </c>
      <c r="B561" s="6" t="s">
        <v>12</v>
      </c>
      <c r="C561" s="7">
        <v>13.78</v>
      </c>
      <c r="D561" s="7">
        <v>10.199999999999999</v>
      </c>
      <c r="E561" s="8">
        <v>0</v>
      </c>
      <c r="F561" s="6">
        <v>0</v>
      </c>
      <c r="G561" s="8">
        <v>0</v>
      </c>
      <c r="H561" s="9">
        <f t="shared" si="45"/>
        <v>0</v>
      </c>
      <c r="I561" s="9">
        <v>4598</v>
      </c>
      <c r="J561" s="10">
        <v>4598</v>
      </c>
      <c r="K561" s="16">
        <v>4598</v>
      </c>
    </row>
    <row r="562" spans="1:11" ht="15.75">
      <c r="A562" s="5">
        <v>44692</v>
      </c>
      <c r="B562" s="6" t="s">
        <v>12</v>
      </c>
      <c r="C562" s="7">
        <v>13.78</v>
      </c>
      <c r="D562" s="7">
        <v>10.199999999999999</v>
      </c>
      <c r="E562" s="8">
        <v>0</v>
      </c>
      <c r="F562" s="6">
        <v>0</v>
      </c>
      <c r="G562" s="8">
        <v>0</v>
      </c>
      <c r="H562" s="9">
        <f t="shared" si="45"/>
        <v>0</v>
      </c>
      <c r="I562" s="9">
        <v>4598</v>
      </c>
      <c r="J562" s="9">
        <v>4598</v>
      </c>
      <c r="K562" s="10">
        <v>4598</v>
      </c>
    </row>
    <row r="563" spans="1:11" ht="15.75">
      <c r="A563" s="5">
        <v>44693</v>
      </c>
      <c r="B563" s="6" t="s">
        <v>12</v>
      </c>
      <c r="C563" s="7">
        <v>13.79</v>
      </c>
      <c r="D563" s="7">
        <v>10.25</v>
      </c>
      <c r="E563" s="8">
        <v>0</v>
      </c>
      <c r="F563" s="8">
        <v>0</v>
      </c>
      <c r="G563" s="6">
        <v>0</v>
      </c>
      <c r="H563" s="9">
        <f t="shared" si="45"/>
        <v>0</v>
      </c>
      <c r="I563" s="9">
        <v>4598</v>
      </c>
      <c r="J563" s="9">
        <v>4598</v>
      </c>
      <c r="K563" s="10">
        <v>4676</v>
      </c>
    </row>
    <row r="564" spans="1:11" ht="15.75">
      <c r="A564" s="5">
        <v>44694</v>
      </c>
      <c r="B564" s="6" t="s">
        <v>12</v>
      </c>
      <c r="C564" s="7">
        <v>13.69</v>
      </c>
      <c r="D564" s="7">
        <v>9.9</v>
      </c>
      <c r="E564" s="8">
        <v>0</v>
      </c>
      <c r="F564" s="6">
        <v>0</v>
      </c>
      <c r="G564" s="8">
        <v>0</v>
      </c>
      <c r="H564" s="9">
        <f t="shared" si="45"/>
        <v>0</v>
      </c>
      <c r="I564" s="9">
        <v>9028</v>
      </c>
      <c r="J564" s="9">
        <v>9028</v>
      </c>
      <c r="K564" s="10">
        <v>8296</v>
      </c>
    </row>
    <row r="565" spans="1:11" ht="15.75">
      <c r="A565" s="5">
        <v>44695</v>
      </c>
      <c r="B565" s="6" t="s">
        <v>12</v>
      </c>
      <c r="C565" s="7">
        <v>13.55</v>
      </c>
      <c r="D565" s="7">
        <v>9.4499999999999993</v>
      </c>
      <c r="E565" s="8">
        <v>0</v>
      </c>
      <c r="F565" s="6">
        <v>0</v>
      </c>
      <c r="G565" s="6">
        <v>0</v>
      </c>
      <c r="H565" s="9">
        <f t="shared" si="45"/>
        <v>0</v>
      </c>
      <c r="I565" s="9">
        <v>8828</v>
      </c>
      <c r="J565" s="9">
        <v>8828</v>
      </c>
      <c r="K565" s="10">
        <v>7748</v>
      </c>
    </row>
    <row r="566" spans="1:11" ht="15.75">
      <c r="A566" s="5">
        <v>44696</v>
      </c>
      <c r="B566" s="6" t="s">
        <v>12</v>
      </c>
      <c r="C566" s="7">
        <v>13.43</v>
      </c>
      <c r="D566" s="7">
        <v>9.0500000000000007</v>
      </c>
      <c r="E566" s="8">
        <v>0</v>
      </c>
      <c r="F566" s="6">
        <v>0</v>
      </c>
      <c r="G566" s="6">
        <v>0</v>
      </c>
      <c r="H566" s="9">
        <f t="shared" si="45"/>
        <v>0</v>
      </c>
      <c r="I566" s="9">
        <v>8025</v>
      </c>
      <c r="J566" s="9">
        <v>8025</v>
      </c>
      <c r="K566" s="10">
        <v>7099</v>
      </c>
    </row>
    <row r="567" spans="1:11" ht="15.75">
      <c r="A567" s="5">
        <v>44697</v>
      </c>
      <c r="B567" s="6" t="s">
        <v>12</v>
      </c>
      <c r="C567" s="7">
        <v>13.4</v>
      </c>
      <c r="D567" s="7">
        <v>8.9499999999999993</v>
      </c>
      <c r="E567" s="8">
        <v>0</v>
      </c>
      <c r="F567" s="6">
        <v>0</v>
      </c>
      <c r="G567" s="6">
        <v>0</v>
      </c>
      <c r="H567" s="9">
        <f t="shared" si="45"/>
        <v>0</v>
      </c>
      <c r="I567" s="9">
        <v>4292</v>
      </c>
      <c r="J567" s="9">
        <v>4292</v>
      </c>
      <c r="K567" s="10">
        <v>4060</v>
      </c>
    </row>
    <row r="568" spans="1:11" ht="15.75">
      <c r="A568" s="5">
        <v>44698</v>
      </c>
      <c r="B568" s="6" t="s">
        <v>12</v>
      </c>
      <c r="C568" s="7">
        <v>13.44</v>
      </c>
      <c r="D568" s="7">
        <v>9.1</v>
      </c>
      <c r="E568" s="8">
        <v>0</v>
      </c>
      <c r="F568" s="6">
        <v>0</v>
      </c>
      <c r="G568" s="6">
        <v>0</v>
      </c>
      <c r="H568" s="9">
        <f t="shared" si="45"/>
        <v>0</v>
      </c>
      <c r="I568" s="9">
        <v>4060</v>
      </c>
      <c r="J568" s="9">
        <v>4327</v>
      </c>
      <c r="K568" s="10">
        <v>4636</v>
      </c>
    </row>
    <row r="569" spans="1:11" ht="15.75">
      <c r="A569" s="5">
        <v>44699</v>
      </c>
      <c r="B569" s="6" t="s">
        <v>12</v>
      </c>
      <c r="C569" s="7">
        <v>13.47</v>
      </c>
      <c r="D569" s="7">
        <v>9.1999999999999993</v>
      </c>
      <c r="E569" s="8">
        <v>0</v>
      </c>
      <c r="F569" s="6">
        <v>0</v>
      </c>
      <c r="G569" s="6">
        <v>0</v>
      </c>
      <c r="H569" s="9">
        <f t="shared" si="45"/>
        <v>0</v>
      </c>
      <c r="I569" s="9">
        <v>4357</v>
      </c>
      <c r="J569" s="9">
        <v>4357</v>
      </c>
      <c r="K569" s="10">
        <v>4589</v>
      </c>
    </row>
    <row r="570" spans="1:11" ht="15.75">
      <c r="A570" s="5">
        <v>44700</v>
      </c>
      <c r="B570" s="6" t="s">
        <v>12</v>
      </c>
      <c r="C570" s="7">
        <v>13.47</v>
      </c>
      <c r="D570" s="7">
        <v>9.1999999999999993</v>
      </c>
      <c r="E570" s="8">
        <v>0</v>
      </c>
      <c r="F570" s="6">
        <v>0</v>
      </c>
      <c r="G570" s="6">
        <v>0</v>
      </c>
      <c r="H570" s="9">
        <f t="shared" si="45"/>
        <v>0</v>
      </c>
      <c r="I570" s="9">
        <v>4360</v>
      </c>
      <c r="J570" s="9">
        <v>4360</v>
      </c>
      <c r="K570" s="10">
        <v>4360</v>
      </c>
    </row>
    <row r="571" spans="1:11" ht="15.75">
      <c r="A571" s="5">
        <v>44701</v>
      </c>
      <c r="B571" s="6" t="s">
        <v>12</v>
      </c>
      <c r="C571" s="7">
        <v>13.52</v>
      </c>
      <c r="D571" s="7">
        <v>9.35</v>
      </c>
      <c r="E571" s="8">
        <v>0</v>
      </c>
      <c r="F571" s="6">
        <v>0</v>
      </c>
      <c r="G571" s="6">
        <v>0</v>
      </c>
      <c r="H571" s="9">
        <f t="shared" si="45"/>
        <v>0</v>
      </c>
      <c r="I571" s="9">
        <v>4390</v>
      </c>
      <c r="J571" s="9">
        <v>4390</v>
      </c>
      <c r="K571" s="10">
        <v>4775</v>
      </c>
    </row>
    <row r="572" spans="1:11" ht="15.75">
      <c r="A572" s="5">
        <v>44702</v>
      </c>
      <c r="B572" s="6" t="s">
        <v>12</v>
      </c>
      <c r="C572" s="7">
        <v>13.57</v>
      </c>
      <c r="D572" s="7">
        <v>9.5</v>
      </c>
      <c r="E572" s="8">
        <v>0</v>
      </c>
      <c r="F572" s="6">
        <v>0</v>
      </c>
      <c r="G572" s="6">
        <v>0</v>
      </c>
      <c r="H572" s="9">
        <f t="shared" si="45"/>
        <v>0</v>
      </c>
      <c r="I572" s="9">
        <v>4421</v>
      </c>
      <c r="J572" s="9">
        <v>4421</v>
      </c>
      <c r="K572" s="10">
        <v>4806</v>
      </c>
    </row>
    <row r="573" spans="1:11" ht="15.75">
      <c r="A573" s="5">
        <v>44703</v>
      </c>
      <c r="B573" s="6" t="s">
        <v>12</v>
      </c>
      <c r="C573" s="7">
        <v>13.57</v>
      </c>
      <c r="D573" s="7">
        <v>9.5</v>
      </c>
      <c r="E573" s="8">
        <v>0</v>
      </c>
      <c r="F573" s="6">
        <v>0</v>
      </c>
      <c r="G573" s="6">
        <v>0</v>
      </c>
      <c r="H573" s="9">
        <f t="shared" si="45"/>
        <v>0</v>
      </c>
      <c r="I573" s="9">
        <v>4432</v>
      </c>
      <c r="J573" s="9">
        <v>4432</v>
      </c>
      <c r="K573" s="10">
        <v>4432</v>
      </c>
    </row>
    <row r="574" spans="1:11" ht="15.75">
      <c r="A574" s="5">
        <v>44704</v>
      </c>
      <c r="B574" s="6" t="s">
        <v>12</v>
      </c>
      <c r="C574" s="7">
        <v>13.6</v>
      </c>
      <c r="D574" s="7">
        <v>9.6</v>
      </c>
      <c r="E574" s="8">
        <v>0</v>
      </c>
      <c r="F574" s="6">
        <v>0</v>
      </c>
      <c r="G574" s="6">
        <v>0</v>
      </c>
      <c r="H574" s="9">
        <f t="shared" si="45"/>
        <v>0</v>
      </c>
      <c r="I574" s="9">
        <v>4456</v>
      </c>
      <c r="J574" s="9">
        <v>4456</v>
      </c>
      <c r="K574" s="10">
        <v>4688</v>
      </c>
    </row>
    <row r="575" spans="1:11" ht="15.75">
      <c r="A575" s="5">
        <v>44705</v>
      </c>
      <c r="B575" s="6" t="s">
        <v>12</v>
      </c>
      <c r="C575" s="7">
        <v>13.64</v>
      </c>
      <c r="D575" s="7">
        <v>9.75</v>
      </c>
      <c r="E575" s="8">
        <v>0</v>
      </c>
      <c r="F575" s="6">
        <v>0</v>
      </c>
      <c r="G575" s="6">
        <v>0</v>
      </c>
      <c r="H575" s="9">
        <f t="shared" si="45"/>
        <v>0</v>
      </c>
      <c r="I575" s="9">
        <v>4485</v>
      </c>
      <c r="J575" s="9">
        <v>4485</v>
      </c>
      <c r="K575" s="10">
        <v>4794</v>
      </c>
    </row>
    <row r="576" spans="1:11" ht="15.75">
      <c r="A576" s="5">
        <v>44706</v>
      </c>
      <c r="B576" s="6" t="s">
        <v>12</v>
      </c>
      <c r="C576" s="7">
        <v>13.67</v>
      </c>
      <c r="D576" s="7">
        <v>9.85</v>
      </c>
      <c r="E576" s="8">
        <v>0</v>
      </c>
      <c r="F576" s="6">
        <v>0</v>
      </c>
      <c r="G576" s="6">
        <v>0</v>
      </c>
      <c r="H576" s="9">
        <f t="shared" si="45"/>
        <v>0</v>
      </c>
      <c r="I576" s="9">
        <v>4512</v>
      </c>
      <c r="J576" s="9">
        <v>4512</v>
      </c>
      <c r="K576" s="10">
        <v>4744</v>
      </c>
    </row>
    <row r="577" spans="1:11" ht="15.75">
      <c r="A577" s="5">
        <v>44707</v>
      </c>
      <c r="B577" s="6" t="s">
        <v>12</v>
      </c>
      <c r="C577" s="7">
        <v>13.73</v>
      </c>
      <c r="D577" s="7">
        <v>10.050000000000001</v>
      </c>
      <c r="E577" s="8">
        <v>0</v>
      </c>
      <c r="F577" s="6">
        <v>0</v>
      </c>
      <c r="G577" s="6">
        <v>0</v>
      </c>
      <c r="H577" s="9">
        <f t="shared" si="45"/>
        <v>0</v>
      </c>
      <c r="I577" s="9">
        <v>3954</v>
      </c>
      <c r="J577" s="9">
        <v>3954</v>
      </c>
      <c r="K577" s="10">
        <v>4422</v>
      </c>
    </row>
    <row r="578" spans="1:11" ht="15.75">
      <c r="A578" s="5">
        <v>44708</v>
      </c>
      <c r="B578" s="6" t="s">
        <v>12</v>
      </c>
      <c r="C578" s="7">
        <v>13.82</v>
      </c>
      <c r="D578" s="7">
        <v>10.35</v>
      </c>
      <c r="E578" s="8">
        <v>0</v>
      </c>
      <c r="F578" s="6">
        <v>0</v>
      </c>
      <c r="G578" s="6">
        <v>0</v>
      </c>
      <c r="H578" s="9">
        <f t="shared" si="45"/>
        <v>0</v>
      </c>
      <c r="I578" s="9">
        <v>3701</v>
      </c>
      <c r="J578" s="9">
        <v>3701</v>
      </c>
      <c r="K578" s="9">
        <v>4391</v>
      </c>
    </row>
    <row r="579" spans="1:11" ht="15.75">
      <c r="A579" s="5">
        <v>44709</v>
      </c>
      <c r="B579" s="6" t="s">
        <v>12</v>
      </c>
      <c r="C579" s="7">
        <v>13.87</v>
      </c>
      <c r="D579" s="7">
        <v>10.5</v>
      </c>
      <c r="E579" s="8">
        <v>0</v>
      </c>
      <c r="F579" s="6">
        <v>0</v>
      </c>
      <c r="G579" s="6">
        <v>0</v>
      </c>
      <c r="H579" s="9">
        <f t="shared" si="45"/>
        <v>0</v>
      </c>
      <c r="I579" s="9">
        <v>4660</v>
      </c>
      <c r="J579" s="9">
        <v>4660</v>
      </c>
      <c r="K579" s="9">
        <v>5045</v>
      </c>
    </row>
    <row r="580" spans="1:11" ht="15.75">
      <c r="A580" s="5">
        <v>44710</v>
      </c>
      <c r="B580" s="6" t="s">
        <v>12</v>
      </c>
      <c r="C580" s="7">
        <v>13.9</v>
      </c>
      <c r="D580" s="7">
        <v>10.6</v>
      </c>
      <c r="E580" s="8">
        <v>0</v>
      </c>
      <c r="F580" s="6">
        <v>0</v>
      </c>
      <c r="G580" s="6">
        <v>0</v>
      </c>
      <c r="H580" s="9">
        <f t="shared" si="45"/>
        <v>0</v>
      </c>
      <c r="I580" s="9">
        <v>4696</v>
      </c>
      <c r="J580" s="9">
        <v>4696</v>
      </c>
      <c r="K580" s="9">
        <v>4928</v>
      </c>
    </row>
    <row r="581" spans="1:11" ht="15.75">
      <c r="A581" s="5">
        <v>44711</v>
      </c>
      <c r="B581" s="6" t="s">
        <v>12</v>
      </c>
      <c r="C581" s="7">
        <v>13.92</v>
      </c>
      <c r="D581" s="7">
        <v>10.65</v>
      </c>
      <c r="E581" s="8">
        <v>0</v>
      </c>
      <c r="F581" s="6">
        <v>0</v>
      </c>
      <c r="G581" s="6">
        <v>0</v>
      </c>
      <c r="H581" s="9">
        <f t="shared" si="45"/>
        <v>0</v>
      </c>
      <c r="I581" s="9">
        <v>4703</v>
      </c>
      <c r="J581" s="9">
        <v>4703</v>
      </c>
      <c r="K581" s="9">
        <v>4781</v>
      </c>
    </row>
    <row r="582" spans="1:11" ht="15.75">
      <c r="A582" s="5">
        <v>44712</v>
      </c>
      <c r="B582" s="6" t="s">
        <v>12</v>
      </c>
      <c r="C582" s="7">
        <v>13.93</v>
      </c>
      <c r="D582" s="7">
        <v>10.7</v>
      </c>
      <c r="E582" s="8">
        <v>0</v>
      </c>
      <c r="F582" s="6">
        <v>0</v>
      </c>
      <c r="G582" s="6">
        <v>0</v>
      </c>
      <c r="H582" s="14">
        <f t="shared" si="45"/>
        <v>0</v>
      </c>
      <c r="I582" s="9">
        <v>4707</v>
      </c>
      <c r="J582" s="9">
        <v>4707</v>
      </c>
      <c r="K582" s="9">
        <v>4861</v>
      </c>
    </row>
    <row r="583" spans="1:11" ht="15.75">
      <c r="A583" s="2" t="s">
        <v>13</v>
      </c>
      <c r="B583" s="2"/>
      <c r="C583" s="2"/>
      <c r="D583" s="2"/>
      <c r="E583" s="11">
        <f>SUM(E552:E582)</f>
        <v>1100</v>
      </c>
      <c r="F583" s="11">
        <f>SUM(F552:F582)</f>
        <v>3700</v>
      </c>
      <c r="G583" s="11">
        <f>SUM(G552:G582)</f>
        <v>2000</v>
      </c>
      <c r="H583" s="11">
        <f>SUM(H553:H582)</f>
        <v>5800</v>
      </c>
      <c r="I583" s="11">
        <f>SUM(I552:I582)</f>
        <v>147182</v>
      </c>
      <c r="J583" s="11">
        <f>SUM(J552:J582)</f>
        <v>154249</v>
      </c>
      <c r="K583" s="11">
        <f>SUM(K552:K582)</f>
        <v>154985</v>
      </c>
    </row>
    <row r="584" spans="1:11" ht="15.75">
      <c r="A584" s="12"/>
      <c r="B584" s="2"/>
      <c r="C584" s="2"/>
      <c r="D584" s="2"/>
      <c r="E584" s="13">
        <f t="shared" ref="E584:K584" si="46">SUM(E583/11575)</f>
        <v>9.5032397408207347E-2</v>
      </c>
      <c r="F584" s="13">
        <f t="shared" si="46"/>
        <v>0.31965442764578833</v>
      </c>
      <c r="G584" s="13">
        <f t="shared" si="46"/>
        <v>0.17278617710583152</v>
      </c>
      <c r="H584" s="13">
        <f t="shared" si="46"/>
        <v>0.5010799136069114</v>
      </c>
      <c r="I584" s="13">
        <f t="shared" si="46"/>
        <v>12.715507559395249</v>
      </c>
      <c r="J584" s="13">
        <f t="shared" si="46"/>
        <v>13.326047516198704</v>
      </c>
      <c r="K584" s="13">
        <f t="shared" si="46"/>
        <v>13.38963282937365</v>
      </c>
    </row>
    <row r="585" spans="1:11" ht="15.75">
      <c r="A585" s="1" t="s">
        <v>36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47.25">
      <c r="A586" s="2" t="s">
        <v>1</v>
      </c>
      <c r="B586" s="2" t="s">
        <v>2</v>
      </c>
      <c r="C586" s="3" t="s">
        <v>18</v>
      </c>
      <c r="D586" s="3" t="s">
        <v>4</v>
      </c>
      <c r="E586" s="3" t="s">
        <v>5</v>
      </c>
      <c r="F586" s="3" t="s">
        <v>6</v>
      </c>
      <c r="G586" s="3" t="s">
        <v>7</v>
      </c>
      <c r="H586" s="3" t="s">
        <v>8</v>
      </c>
      <c r="I586" s="3" t="s">
        <v>9</v>
      </c>
      <c r="J586" s="3" t="s">
        <v>19</v>
      </c>
      <c r="K586" s="4" t="s">
        <v>11</v>
      </c>
    </row>
    <row r="587" spans="1:11" ht="15.75">
      <c r="A587" s="5">
        <v>44713</v>
      </c>
      <c r="B587" s="6" t="s">
        <v>12</v>
      </c>
      <c r="C587" s="7">
        <v>13.99</v>
      </c>
      <c r="D587" s="7">
        <v>10.9</v>
      </c>
      <c r="E587" s="8">
        <v>500</v>
      </c>
      <c r="F587" s="8">
        <v>500</v>
      </c>
      <c r="G587" s="8">
        <v>500</v>
      </c>
      <c r="H587" s="14">
        <f t="shared" ref="H587:H616" si="47">E587+F587+G587</f>
        <v>1500</v>
      </c>
      <c r="I587" s="9">
        <v>0</v>
      </c>
      <c r="J587" s="9">
        <v>0</v>
      </c>
      <c r="K587" s="10">
        <v>463</v>
      </c>
    </row>
    <row r="588" spans="1:11" ht="15.75">
      <c r="A588" s="5">
        <v>44714</v>
      </c>
      <c r="B588" s="6" t="s">
        <v>12</v>
      </c>
      <c r="C588" s="7">
        <v>13.99</v>
      </c>
      <c r="D588" s="7">
        <v>10.9</v>
      </c>
      <c r="E588" s="8">
        <v>500</v>
      </c>
      <c r="F588" s="6">
        <v>500</v>
      </c>
      <c r="G588" s="8">
        <v>500</v>
      </c>
      <c r="H588" s="14">
        <f t="shared" si="47"/>
        <v>1500</v>
      </c>
      <c r="I588" s="9">
        <v>2864</v>
      </c>
      <c r="J588" s="9">
        <v>4364</v>
      </c>
      <c r="K588" s="10">
        <v>4364</v>
      </c>
    </row>
    <row r="589" spans="1:11" ht="15.75">
      <c r="A589" s="5">
        <v>44715</v>
      </c>
      <c r="B589" s="6" t="s">
        <v>12</v>
      </c>
      <c r="C589" s="7">
        <v>13.99</v>
      </c>
      <c r="D589" s="7">
        <v>10.9</v>
      </c>
      <c r="E589" s="8">
        <v>500</v>
      </c>
      <c r="F589" s="6">
        <v>400</v>
      </c>
      <c r="G589" s="8">
        <v>500</v>
      </c>
      <c r="H589" s="14">
        <f t="shared" si="47"/>
        <v>1400</v>
      </c>
      <c r="I589" s="9">
        <v>1908</v>
      </c>
      <c r="J589" s="9">
        <v>3308</v>
      </c>
      <c r="K589" s="10">
        <v>3308</v>
      </c>
    </row>
    <row r="590" spans="1:11" ht="15.75">
      <c r="A590" s="5">
        <v>44716</v>
      </c>
      <c r="B590" s="6" t="s">
        <v>12</v>
      </c>
      <c r="C590" s="7">
        <v>13.99</v>
      </c>
      <c r="D590" s="7">
        <v>10.9</v>
      </c>
      <c r="E590" s="8">
        <v>500</v>
      </c>
      <c r="F590" s="6">
        <v>250</v>
      </c>
      <c r="G590" s="8">
        <v>1000</v>
      </c>
      <c r="H590" s="14">
        <f t="shared" si="47"/>
        <v>1750</v>
      </c>
      <c r="I590" s="9">
        <v>0</v>
      </c>
      <c r="J590" s="9">
        <v>1750</v>
      </c>
      <c r="K590" s="10">
        <v>1750</v>
      </c>
    </row>
    <row r="591" spans="1:11" ht="15.75">
      <c r="A591" s="5">
        <v>44717</v>
      </c>
      <c r="B591" s="6" t="s">
        <v>12</v>
      </c>
      <c r="C591" s="7">
        <v>13.99</v>
      </c>
      <c r="D591" s="7">
        <v>10.9</v>
      </c>
      <c r="E591" s="8">
        <v>500</v>
      </c>
      <c r="F591" s="6">
        <v>250</v>
      </c>
      <c r="G591" s="8">
        <v>1000</v>
      </c>
      <c r="H591" s="14">
        <f t="shared" si="47"/>
        <v>1750</v>
      </c>
      <c r="I591" s="9">
        <v>0</v>
      </c>
      <c r="J591" s="9">
        <v>1750</v>
      </c>
      <c r="K591" s="9">
        <v>1750</v>
      </c>
    </row>
    <row r="592" spans="1:11" ht="15.75">
      <c r="A592" s="5">
        <v>44718</v>
      </c>
      <c r="B592" s="6" t="s">
        <v>12</v>
      </c>
      <c r="C592" s="7">
        <v>13.99</v>
      </c>
      <c r="D592" s="7">
        <v>10.9</v>
      </c>
      <c r="E592" s="8">
        <v>800</v>
      </c>
      <c r="F592" s="6">
        <v>250</v>
      </c>
      <c r="G592" s="8">
        <v>1500</v>
      </c>
      <c r="H592" s="14">
        <f t="shared" si="47"/>
        <v>2550</v>
      </c>
      <c r="I592" s="9">
        <v>0</v>
      </c>
      <c r="J592" s="9">
        <v>2550</v>
      </c>
      <c r="K592" s="10">
        <v>2550</v>
      </c>
    </row>
    <row r="593" spans="1:11" ht="15.75">
      <c r="A593" s="5">
        <v>44719</v>
      </c>
      <c r="B593" s="6" t="s">
        <v>12</v>
      </c>
      <c r="C593" s="7">
        <v>13.99</v>
      </c>
      <c r="D593" s="7">
        <v>10.9</v>
      </c>
      <c r="E593" s="8">
        <v>800</v>
      </c>
      <c r="F593" s="6">
        <v>250</v>
      </c>
      <c r="G593" s="8">
        <v>1500</v>
      </c>
      <c r="H593" s="14">
        <f t="shared" si="47"/>
        <v>2550</v>
      </c>
      <c r="I593" s="9">
        <v>3508</v>
      </c>
      <c r="J593" s="9">
        <v>6058</v>
      </c>
      <c r="K593" s="10">
        <v>6058</v>
      </c>
    </row>
    <row r="594" spans="1:11" ht="15.75">
      <c r="A594" s="5">
        <v>44720</v>
      </c>
      <c r="B594" s="6" t="s">
        <v>12</v>
      </c>
      <c r="C594" s="7">
        <v>13.99</v>
      </c>
      <c r="D594" s="7">
        <v>10.9</v>
      </c>
      <c r="E594" s="8">
        <v>800</v>
      </c>
      <c r="F594" s="6">
        <v>250</v>
      </c>
      <c r="G594" s="8">
        <v>1500</v>
      </c>
      <c r="H594" s="14">
        <f t="shared" si="47"/>
        <v>2550</v>
      </c>
      <c r="I594" s="9">
        <v>3506</v>
      </c>
      <c r="J594" s="9">
        <v>6056</v>
      </c>
      <c r="K594" s="10">
        <v>6056</v>
      </c>
    </row>
    <row r="595" spans="1:11" ht="15.75">
      <c r="A595" s="5">
        <v>44721</v>
      </c>
      <c r="B595" s="6" t="s">
        <v>12</v>
      </c>
      <c r="C595" s="7">
        <v>13.99</v>
      </c>
      <c r="D595" s="7">
        <v>10.9</v>
      </c>
      <c r="E595" s="8">
        <v>1200</v>
      </c>
      <c r="F595" s="6">
        <v>250</v>
      </c>
      <c r="G595" s="8">
        <v>1500</v>
      </c>
      <c r="H595" s="14">
        <f t="shared" si="47"/>
        <v>2950</v>
      </c>
      <c r="I595" s="9">
        <v>3504</v>
      </c>
      <c r="J595" s="9">
        <v>6454</v>
      </c>
      <c r="K595" s="10">
        <v>6454</v>
      </c>
    </row>
    <row r="596" spans="1:11" ht="15.75">
      <c r="A596" s="5">
        <v>44722</v>
      </c>
      <c r="B596" s="6" t="s">
        <v>12</v>
      </c>
      <c r="C596" s="7">
        <v>13.99</v>
      </c>
      <c r="D596" s="7">
        <v>10.9</v>
      </c>
      <c r="E596" s="8">
        <v>2000</v>
      </c>
      <c r="F596" s="6">
        <v>450</v>
      </c>
      <c r="G596" s="8">
        <v>2500</v>
      </c>
      <c r="H596" s="14">
        <f t="shared" si="47"/>
        <v>4950</v>
      </c>
      <c r="I596" s="9">
        <v>2864</v>
      </c>
      <c r="J596" s="10">
        <v>7814</v>
      </c>
      <c r="K596" s="16">
        <v>7814</v>
      </c>
    </row>
    <row r="597" spans="1:11" ht="15.75">
      <c r="A597" s="5">
        <v>44723</v>
      </c>
      <c r="B597" s="6" t="s">
        <v>12</v>
      </c>
      <c r="C597" s="7">
        <v>13.93</v>
      </c>
      <c r="D597" s="7">
        <v>10.7</v>
      </c>
      <c r="E597" s="8">
        <v>2000</v>
      </c>
      <c r="F597" s="6">
        <v>1000</v>
      </c>
      <c r="G597" s="8">
        <v>4000</v>
      </c>
      <c r="H597" s="14">
        <f t="shared" si="47"/>
        <v>7000</v>
      </c>
      <c r="I597" s="9">
        <v>0</v>
      </c>
      <c r="J597" s="9">
        <v>7000</v>
      </c>
      <c r="K597" s="10">
        <v>6537</v>
      </c>
    </row>
    <row r="598" spans="1:11" ht="15.75">
      <c r="A598" s="5">
        <v>44724</v>
      </c>
      <c r="B598" s="6" t="s">
        <v>12</v>
      </c>
      <c r="C598" s="7">
        <v>13.84</v>
      </c>
      <c r="D598" s="7">
        <v>10.4</v>
      </c>
      <c r="E598" s="8">
        <v>3000</v>
      </c>
      <c r="F598" s="8">
        <v>1000</v>
      </c>
      <c r="G598" s="6">
        <v>4000</v>
      </c>
      <c r="H598" s="14">
        <f t="shared" si="47"/>
        <v>8000</v>
      </c>
      <c r="I598" s="9">
        <v>0</v>
      </c>
      <c r="J598" s="9">
        <v>8000</v>
      </c>
      <c r="K598" s="10">
        <v>7305</v>
      </c>
    </row>
    <row r="599" spans="1:11" ht="15.75">
      <c r="A599" s="5">
        <v>44725</v>
      </c>
      <c r="B599" s="6" t="s">
        <v>12</v>
      </c>
      <c r="C599" s="7">
        <v>13.72</v>
      </c>
      <c r="D599" s="7">
        <v>10</v>
      </c>
      <c r="E599" s="8">
        <v>3000</v>
      </c>
      <c r="F599" s="6">
        <v>1500</v>
      </c>
      <c r="G599" s="8">
        <v>4000</v>
      </c>
      <c r="H599" s="14">
        <f t="shared" si="47"/>
        <v>8500</v>
      </c>
      <c r="I599" s="9">
        <v>0</v>
      </c>
      <c r="J599" s="9">
        <v>8500</v>
      </c>
      <c r="K599" s="10">
        <v>7574</v>
      </c>
    </row>
    <row r="600" spans="1:11" ht="15.75">
      <c r="A600" s="5">
        <v>44726</v>
      </c>
      <c r="B600" s="6" t="s">
        <v>12</v>
      </c>
      <c r="C600" s="7">
        <v>13.53</v>
      </c>
      <c r="D600" s="7">
        <v>9.4</v>
      </c>
      <c r="E600" s="8">
        <v>3000</v>
      </c>
      <c r="F600" s="6">
        <v>1500</v>
      </c>
      <c r="G600" s="6">
        <v>4000</v>
      </c>
      <c r="H600" s="14">
        <f t="shared" si="47"/>
        <v>8500</v>
      </c>
      <c r="I600" s="9">
        <v>0</v>
      </c>
      <c r="J600" s="9">
        <v>8500</v>
      </c>
      <c r="K600" s="10">
        <v>7035</v>
      </c>
    </row>
    <row r="601" spans="1:11" ht="15.75">
      <c r="A601" s="5">
        <v>44727</v>
      </c>
      <c r="B601" s="6" t="s">
        <v>12</v>
      </c>
      <c r="C601" s="7">
        <v>13.32</v>
      </c>
      <c r="D601" s="7">
        <v>8.6999999999999993</v>
      </c>
      <c r="E601" s="8">
        <v>3000</v>
      </c>
      <c r="F601" s="6">
        <v>1800</v>
      </c>
      <c r="G601" s="6">
        <v>4000</v>
      </c>
      <c r="H601" s="14">
        <f t="shared" si="47"/>
        <v>8800</v>
      </c>
      <c r="I601" s="9">
        <v>0</v>
      </c>
      <c r="J601" s="9">
        <v>8800</v>
      </c>
      <c r="K601" s="10">
        <v>7182</v>
      </c>
    </row>
    <row r="602" spans="1:11" ht="15.75">
      <c r="A602" s="5">
        <v>44728</v>
      </c>
      <c r="B602" s="6" t="s">
        <v>12</v>
      </c>
      <c r="C602" s="7">
        <v>13.14</v>
      </c>
      <c r="D602" s="7">
        <v>8.1</v>
      </c>
      <c r="E602" s="8">
        <v>3000</v>
      </c>
      <c r="F602" s="6">
        <v>2000</v>
      </c>
      <c r="G602" s="6">
        <v>5000</v>
      </c>
      <c r="H602" s="14">
        <f t="shared" si="47"/>
        <v>10000</v>
      </c>
      <c r="I602" s="9">
        <v>0</v>
      </c>
      <c r="J602" s="9">
        <v>10000</v>
      </c>
      <c r="K602" s="10">
        <v>8634</v>
      </c>
    </row>
    <row r="603" spans="1:11" ht="15.75">
      <c r="A603" s="5">
        <v>44729</v>
      </c>
      <c r="B603" s="6" t="s">
        <v>12</v>
      </c>
      <c r="C603" s="7">
        <v>12.86</v>
      </c>
      <c r="D603" s="7">
        <v>7.2</v>
      </c>
      <c r="E603" s="8">
        <v>2500</v>
      </c>
      <c r="F603" s="6">
        <v>1700</v>
      </c>
      <c r="G603" s="6">
        <v>4200</v>
      </c>
      <c r="H603" s="14">
        <f t="shared" si="47"/>
        <v>8400</v>
      </c>
      <c r="I603" s="9">
        <v>0</v>
      </c>
      <c r="J603" s="9">
        <v>8400</v>
      </c>
      <c r="K603" s="10">
        <v>6298</v>
      </c>
    </row>
    <row r="604" spans="1:11" ht="15.75">
      <c r="A604" s="5">
        <v>44730</v>
      </c>
      <c r="B604" s="6" t="s">
        <v>12</v>
      </c>
      <c r="C604" s="7">
        <v>12.65</v>
      </c>
      <c r="D604" s="7">
        <v>6.5</v>
      </c>
      <c r="E604" s="8">
        <v>2650</v>
      </c>
      <c r="F604" s="6">
        <v>1900</v>
      </c>
      <c r="G604" s="6">
        <v>5000</v>
      </c>
      <c r="H604" s="14">
        <f t="shared" si="47"/>
        <v>9550</v>
      </c>
      <c r="I604" s="9">
        <v>0</v>
      </c>
      <c r="J604" s="9">
        <v>9550</v>
      </c>
      <c r="K604" s="10">
        <v>7993</v>
      </c>
    </row>
    <row r="605" spans="1:11" ht="15.75">
      <c r="A605" s="5">
        <v>44731</v>
      </c>
      <c r="B605" s="6" t="s">
        <v>12</v>
      </c>
      <c r="C605" s="7">
        <v>12.38</v>
      </c>
      <c r="D605" s="7">
        <v>5.6</v>
      </c>
      <c r="E605" s="8">
        <v>2200</v>
      </c>
      <c r="F605" s="6">
        <v>1550</v>
      </c>
      <c r="G605" s="6">
        <v>3930</v>
      </c>
      <c r="H605" s="14">
        <f t="shared" si="47"/>
        <v>7680</v>
      </c>
      <c r="I605" s="9">
        <v>0</v>
      </c>
      <c r="J605" s="9">
        <v>7680</v>
      </c>
      <c r="K605" s="10">
        <v>4373</v>
      </c>
    </row>
    <row r="606" spans="1:11" ht="15.75">
      <c r="A606" s="5">
        <v>44732</v>
      </c>
      <c r="B606" s="6" t="s">
        <v>12</v>
      </c>
      <c r="C606" s="7">
        <v>12.13</v>
      </c>
      <c r="D606" s="7">
        <v>4.8</v>
      </c>
      <c r="E606" s="8">
        <v>1770</v>
      </c>
      <c r="F606" s="6">
        <v>1250</v>
      </c>
      <c r="G606" s="6">
        <v>3450</v>
      </c>
      <c r="H606" s="14">
        <f t="shared" si="47"/>
        <v>6470</v>
      </c>
      <c r="I606" s="9">
        <v>0</v>
      </c>
      <c r="J606" s="9">
        <v>6470</v>
      </c>
      <c r="K606" s="10">
        <v>4708</v>
      </c>
    </row>
    <row r="607" spans="1:11" ht="15.75">
      <c r="A607" s="5">
        <v>44733</v>
      </c>
      <c r="B607" s="6" t="s">
        <v>12</v>
      </c>
      <c r="C607" s="7">
        <v>11.98</v>
      </c>
      <c r="D607" s="7">
        <v>4.3</v>
      </c>
      <c r="E607" s="8">
        <v>1460</v>
      </c>
      <c r="F607" s="6">
        <v>950</v>
      </c>
      <c r="G607" s="6">
        <v>3000</v>
      </c>
      <c r="H607" s="14">
        <f t="shared" si="47"/>
        <v>5410</v>
      </c>
      <c r="I607" s="9">
        <v>0</v>
      </c>
      <c r="J607" s="9">
        <v>5410</v>
      </c>
      <c r="K607" s="10">
        <v>4413</v>
      </c>
    </row>
    <row r="608" spans="1:11" ht="15.75">
      <c r="A608" s="5">
        <v>44734</v>
      </c>
      <c r="B608" s="6" t="s">
        <v>12</v>
      </c>
      <c r="C608" s="7">
        <v>11.93</v>
      </c>
      <c r="D608" s="7">
        <v>4.1500000000000004</v>
      </c>
      <c r="E608" s="8">
        <v>1460</v>
      </c>
      <c r="F608" s="6">
        <v>950</v>
      </c>
      <c r="G608" s="6">
        <v>2800</v>
      </c>
      <c r="H608" s="14">
        <f t="shared" si="47"/>
        <v>5210</v>
      </c>
      <c r="I608" s="9">
        <v>0</v>
      </c>
      <c r="J608" s="9">
        <v>5210</v>
      </c>
      <c r="K608" s="10">
        <v>4877</v>
      </c>
    </row>
    <row r="609" spans="1:11" ht="15.75">
      <c r="A609" s="5">
        <v>44735</v>
      </c>
      <c r="B609" s="6" t="s">
        <v>12</v>
      </c>
      <c r="C609" s="7">
        <v>11.9</v>
      </c>
      <c r="D609" s="7">
        <v>4.05</v>
      </c>
      <c r="E609" s="8">
        <v>1435</v>
      </c>
      <c r="F609" s="6">
        <v>900</v>
      </c>
      <c r="G609" s="6">
        <v>2650</v>
      </c>
      <c r="H609" s="14">
        <f t="shared" si="47"/>
        <v>4985</v>
      </c>
      <c r="I609" s="9">
        <v>0</v>
      </c>
      <c r="J609" s="9">
        <v>4985</v>
      </c>
      <c r="K609" s="10">
        <v>4786</v>
      </c>
    </row>
    <row r="610" spans="1:11" ht="15.75">
      <c r="A610" s="5">
        <v>44736</v>
      </c>
      <c r="B610" s="6" t="s">
        <v>12</v>
      </c>
      <c r="C610" s="7">
        <v>11.89</v>
      </c>
      <c r="D610" s="7">
        <v>4</v>
      </c>
      <c r="E610" s="8">
        <v>1410</v>
      </c>
      <c r="F610" s="6">
        <v>825</v>
      </c>
      <c r="G610" s="6">
        <v>2750</v>
      </c>
      <c r="H610" s="14">
        <f t="shared" si="47"/>
        <v>4985</v>
      </c>
      <c r="I610" s="9">
        <v>0</v>
      </c>
      <c r="J610" s="9">
        <v>4985</v>
      </c>
      <c r="K610" s="10">
        <v>4919</v>
      </c>
    </row>
    <row r="611" spans="1:11" ht="15.75">
      <c r="A611" s="5">
        <v>44737</v>
      </c>
      <c r="B611" s="6" t="s">
        <v>12</v>
      </c>
      <c r="C611" s="7">
        <v>11.98</v>
      </c>
      <c r="D611" s="7">
        <v>4</v>
      </c>
      <c r="E611" s="8">
        <v>1510</v>
      </c>
      <c r="F611" s="6">
        <v>950</v>
      </c>
      <c r="G611" s="6">
        <v>2850</v>
      </c>
      <c r="H611" s="14">
        <f t="shared" si="47"/>
        <v>5310</v>
      </c>
      <c r="I611" s="9">
        <v>0</v>
      </c>
      <c r="J611" s="9">
        <v>5310</v>
      </c>
      <c r="K611" s="10">
        <v>5908</v>
      </c>
    </row>
    <row r="612" spans="1:11" ht="15.75">
      <c r="A612" s="5">
        <v>44738</v>
      </c>
      <c r="B612" s="6" t="s">
        <v>12</v>
      </c>
      <c r="C612" s="7">
        <v>12.13</v>
      </c>
      <c r="D612" s="7">
        <v>4.8</v>
      </c>
      <c r="E612" s="8">
        <v>1690</v>
      </c>
      <c r="F612" s="6">
        <v>1215</v>
      </c>
      <c r="G612" s="6">
        <v>3200</v>
      </c>
      <c r="H612" s="14">
        <f t="shared" si="47"/>
        <v>6105</v>
      </c>
      <c r="I612" s="9">
        <v>0</v>
      </c>
      <c r="J612" s="9">
        <v>6105</v>
      </c>
      <c r="K612" s="10">
        <v>7102</v>
      </c>
    </row>
    <row r="613" spans="1:11" ht="15.75">
      <c r="A613" s="5">
        <v>44739</v>
      </c>
      <c r="B613" s="6" t="s">
        <v>12</v>
      </c>
      <c r="C613" s="7">
        <v>12.28</v>
      </c>
      <c r="D613" s="7">
        <v>5.3</v>
      </c>
      <c r="E613" s="8">
        <v>2000</v>
      </c>
      <c r="F613" s="6">
        <v>1450</v>
      </c>
      <c r="G613" s="6">
        <v>3580</v>
      </c>
      <c r="H613" s="14">
        <f t="shared" si="47"/>
        <v>7030</v>
      </c>
      <c r="I613" s="9">
        <v>0</v>
      </c>
      <c r="J613" s="9">
        <v>7030</v>
      </c>
      <c r="K613" s="9">
        <v>8086</v>
      </c>
    </row>
    <row r="614" spans="1:11" ht="15.75">
      <c r="A614" s="5">
        <v>44740</v>
      </c>
      <c r="B614" s="6" t="s">
        <v>12</v>
      </c>
      <c r="C614" s="7">
        <v>12.42</v>
      </c>
      <c r="D614" s="7">
        <v>5.75</v>
      </c>
      <c r="E614" s="8">
        <v>2040</v>
      </c>
      <c r="F614" s="6">
        <v>1460</v>
      </c>
      <c r="G614" s="6">
        <v>3850</v>
      </c>
      <c r="H614" s="14">
        <f t="shared" si="47"/>
        <v>7350</v>
      </c>
      <c r="I614" s="9">
        <v>0</v>
      </c>
      <c r="J614" s="9">
        <v>7350</v>
      </c>
      <c r="K614" s="9">
        <v>8340</v>
      </c>
    </row>
    <row r="615" spans="1:11" ht="15.75">
      <c r="A615" s="5">
        <v>44741</v>
      </c>
      <c r="B615" s="6" t="s">
        <v>12</v>
      </c>
      <c r="C615" s="7">
        <v>12.56</v>
      </c>
      <c r="D615" s="7">
        <v>6.2</v>
      </c>
      <c r="E615" s="8">
        <v>2040</v>
      </c>
      <c r="F615" s="6">
        <v>1460</v>
      </c>
      <c r="G615" s="6">
        <v>3850</v>
      </c>
      <c r="H615" s="14">
        <f t="shared" si="47"/>
        <v>7350</v>
      </c>
      <c r="I615" s="9">
        <v>0</v>
      </c>
      <c r="J615" s="9">
        <v>7350</v>
      </c>
      <c r="K615" s="9">
        <v>8372</v>
      </c>
    </row>
    <row r="616" spans="1:11" ht="15.75">
      <c r="A616" s="5">
        <v>44742</v>
      </c>
      <c r="B616" s="6" t="s">
        <v>12</v>
      </c>
      <c r="C616" s="7">
        <v>12.71</v>
      </c>
      <c r="D616" s="7">
        <v>6.7</v>
      </c>
      <c r="E616" s="8">
        <v>2040</v>
      </c>
      <c r="F616" s="6">
        <v>1460</v>
      </c>
      <c r="G616" s="6">
        <v>3850</v>
      </c>
      <c r="H616" s="14">
        <f t="shared" si="47"/>
        <v>7350</v>
      </c>
      <c r="I616" s="9">
        <v>0</v>
      </c>
      <c r="J616" s="9">
        <v>7350</v>
      </c>
      <c r="K616" s="9">
        <v>8451</v>
      </c>
    </row>
    <row r="617" spans="1:11" ht="15.75">
      <c r="A617" s="2" t="s">
        <v>13</v>
      </c>
      <c r="B617" s="2"/>
      <c r="C617" s="2"/>
      <c r="D617" s="2"/>
      <c r="E617" s="11">
        <f>SUM(E587:E616)</f>
        <v>51305</v>
      </c>
      <c r="F617" s="11">
        <f>SUM(F587:F616)</f>
        <v>30170</v>
      </c>
      <c r="G617" s="11">
        <f>SUM(G587:G616)</f>
        <v>85960</v>
      </c>
      <c r="H617" s="11">
        <f>SUM(H588:H616)</f>
        <v>165935</v>
      </c>
      <c r="I617" s="11">
        <f>SUM(I587:I616)</f>
        <v>18154</v>
      </c>
      <c r="J617" s="11">
        <f>SUM(J587:J616)</f>
        <v>184089</v>
      </c>
      <c r="K617" s="11">
        <f>SUM(K587:K616)</f>
        <v>173460</v>
      </c>
    </row>
    <row r="618" spans="1:11" ht="15.75">
      <c r="A618" s="12"/>
      <c r="B618" s="2"/>
      <c r="C618" s="2"/>
      <c r="D618" s="2"/>
      <c r="E618" s="13">
        <f t="shared" ref="E618:K618" si="48">SUM(E617/11575)</f>
        <v>4.4323974082073434</v>
      </c>
      <c r="F618" s="13">
        <f t="shared" si="48"/>
        <v>2.6064794816414687</v>
      </c>
      <c r="G618" s="13">
        <f t="shared" si="48"/>
        <v>7.4263498920086395</v>
      </c>
      <c r="H618" s="13">
        <f t="shared" si="48"/>
        <v>14.335637149028077</v>
      </c>
      <c r="I618" s="13">
        <f t="shared" si="48"/>
        <v>1.5683801295896329</v>
      </c>
      <c r="J618" s="13">
        <f t="shared" si="48"/>
        <v>15.90401727861771</v>
      </c>
      <c r="K618" s="13">
        <f t="shared" si="48"/>
        <v>14.985745140388769</v>
      </c>
    </row>
    <row r="619" spans="1:11" ht="15.75">
      <c r="A619" s="1" t="s">
        <v>37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47.25">
      <c r="A620" s="2" t="s">
        <v>1</v>
      </c>
      <c r="B620" s="2" t="s">
        <v>2</v>
      </c>
      <c r="C620" s="3" t="s">
        <v>18</v>
      </c>
      <c r="D620" s="3" t="s">
        <v>4</v>
      </c>
      <c r="E620" s="3" t="s">
        <v>5</v>
      </c>
      <c r="F620" s="3" t="s">
        <v>6</v>
      </c>
      <c r="G620" s="3" t="s">
        <v>7</v>
      </c>
      <c r="H620" s="3" t="s">
        <v>8</v>
      </c>
      <c r="I620" s="3" t="s">
        <v>9</v>
      </c>
      <c r="J620" s="3" t="s">
        <v>19</v>
      </c>
      <c r="K620" s="4" t="s">
        <v>11</v>
      </c>
    </row>
    <row r="621" spans="1:11" ht="15.75">
      <c r="A621" s="5">
        <v>44743</v>
      </c>
      <c r="B621" s="6" t="s">
        <v>12</v>
      </c>
      <c r="C621" s="7">
        <v>12.93</v>
      </c>
      <c r="D621" s="7">
        <v>7.4</v>
      </c>
      <c r="E621" s="8">
        <v>2040</v>
      </c>
      <c r="F621" s="8">
        <v>1460</v>
      </c>
      <c r="G621" s="8">
        <v>3850</v>
      </c>
      <c r="H621" s="9">
        <f t="shared" ref="H621:H651" si="49">E621+F621+G621</f>
        <v>7350</v>
      </c>
      <c r="I621" s="9">
        <v>0</v>
      </c>
      <c r="J621" s="9">
        <v>7350</v>
      </c>
      <c r="K621" s="10">
        <v>8988</v>
      </c>
    </row>
    <row r="622" spans="1:11" ht="15.75">
      <c r="A622" s="5">
        <v>44744</v>
      </c>
      <c r="B622" s="6" t="s">
        <v>12</v>
      </c>
      <c r="C622" s="7">
        <v>13.17</v>
      </c>
      <c r="D622" s="7">
        <v>8.1999999999999993</v>
      </c>
      <c r="E622" s="8">
        <v>2500</v>
      </c>
      <c r="F622" s="6">
        <v>1460</v>
      </c>
      <c r="G622" s="8">
        <v>3850</v>
      </c>
      <c r="H622" s="9">
        <f t="shared" si="49"/>
        <v>7810</v>
      </c>
      <c r="I622" s="9">
        <v>0</v>
      </c>
      <c r="J622" s="9">
        <v>7810</v>
      </c>
      <c r="K622" s="10">
        <v>9617</v>
      </c>
    </row>
    <row r="623" spans="1:11" ht="15.75">
      <c r="A623" s="5">
        <v>44745</v>
      </c>
      <c r="B623" s="6" t="s">
        <v>12</v>
      </c>
      <c r="C623" s="7">
        <v>13.35</v>
      </c>
      <c r="D623" s="7">
        <v>8.8000000000000007</v>
      </c>
      <c r="E623" s="8">
        <v>2580</v>
      </c>
      <c r="F623" s="6">
        <v>1460</v>
      </c>
      <c r="G623" s="8">
        <v>4850</v>
      </c>
      <c r="H623" s="9">
        <f t="shared" si="49"/>
        <v>8890</v>
      </c>
      <c r="I623" s="9">
        <v>0</v>
      </c>
      <c r="J623" s="9">
        <v>8890</v>
      </c>
      <c r="K623" s="10">
        <v>10257</v>
      </c>
    </row>
    <row r="624" spans="1:11" ht="15.75">
      <c r="A624" s="5">
        <v>44746</v>
      </c>
      <c r="B624" s="6" t="s">
        <v>12</v>
      </c>
      <c r="C624" s="7">
        <v>13.53</v>
      </c>
      <c r="D624" s="7">
        <v>9.4</v>
      </c>
      <c r="E624" s="8">
        <v>2580</v>
      </c>
      <c r="F624" s="6">
        <v>1460</v>
      </c>
      <c r="G624" s="8">
        <v>4850</v>
      </c>
      <c r="H624" s="9">
        <f t="shared" si="49"/>
        <v>8890</v>
      </c>
      <c r="I624" s="9">
        <v>0</v>
      </c>
      <c r="J624" s="9">
        <v>8890</v>
      </c>
      <c r="K624" s="10">
        <v>10280</v>
      </c>
    </row>
    <row r="625" spans="1:11" ht="15.75">
      <c r="A625" s="5">
        <v>44747</v>
      </c>
      <c r="B625" s="6" t="s">
        <v>12</v>
      </c>
      <c r="C625" s="7">
        <v>13.87</v>
      </c>
      <c r="D625" s="7">
        <v>10.5</v>
      </c>
      <c r="E625" s="8">
        <v>3000</v>
      </c>
      <c r="F625" s="6">
        <v>1460</v>
      </c>
      <c r="G625" s="8">
        <v>3850</v>
      </c>
      <c r="H625" s="9">
        <f t="shared" si="49"/>
        <v>8310</v>
      </c>
      <c r="I625" s="9">
        <v>0</v>
      </c>
      <c r="J625" s="9">
        <v>8310</v>
      </c>
      <c r="K625" s="9">
        <v>10933</v>
      </c>
    </row>
    <row r="626" spans="1:11" ht="15.75">
      <c r="A626" s="5">
        <v>44748</v>
      </c>
      <c r="B626" s="6" t="s">
        <v>12</v>
      </c>
      <c r="C626" s="7">
        <v>13.99</v>
      </c>
      <c r="D626" s="7">
        <v>10.9</v>
      </c>
      <c r="E626" s="8">
        <v>3700</v>
      </c>
      <c r="F626" s="6">
        <v>1460</v>
      </c>
      <c r="G626" s="8">
        <v>4850</v>
      </c>
      <c r="H626" s="9">
        <f t="shared" si="49"/>
        <v>10010</v>
      </c>
      <c r="I626" s="9">
        <v>0</v>
      </c>
      <c r="J626" s="9">
        <v>10010</v>
      </c>
      <c r="K626" s="10">
        <v>10936</v>
      </c>
    </row>
    <row r="627" spans="1:11" ht="15.75">
      <c r="A627" s="5">
        <v>44749</v>
      </c>
      <c r="B627" s="6" t="s">
        <v>12</v>
      </c>
      <c r="C627" s="7">
        <v>13.95</v>
      </c>
      <c r="D627" s="7">
        <v>10.75</v>
      </c>
      <c r="E627" s="8">
        <v>3500</v>
      </c>
      <c r="F627" s="6">
        <v>1460</v>
      </c>
      <c r="G627" s="8">
        <v>3850</v>
      </c>
      <c r="H627" s="9">
        <f t="shared" si="49"/>
        <v>8810</v>
      </c>
      <c r="I627" s="9">
        <v>15472</v>
      </c>
      <c r="J627" s="9">
        <v>24282</v>
      </c>
      <c r="K627" s="10">
        <v>23897</v>
      </c>
    </row>
    <row r="628" spans="1:11" ht="15.75">
      <c r="A628" s="5">
        <v>44750</v>
      </c>
      <c r="B628" s="6" t="s">
        <v>12</v>
      </c>
      <c r="C628" s="7">
        <v>13.99</v>
      </c>
      <c r="D628" s="7">
        <v>10.9</v>
      </c>
      <c r="E628" s="8">
        <v>2500</v>
      </c>
      <c r="F628" s="6">
        <v>1460</v>
      </c>
      <c r="G628" s="8">
        <v>3850</v>
      </c>
      <c r="H628" s="9">
        <f t="shared" si="49"/>
        <v>7810</v>
      </c>
      <c r="I628" s="9">
        <v>55646</v>
      </c>
      <c r="J628" s="9">
        <v>63456</v>
      </c>
      <c r="K628" s="10">
        <v>63841</v>
      </c>
    </row>
    <row r="629" spans="1:11" ht="15.75">
      <c r="A629" s="5">
        <v>44751</v>
      </c>
      <c r="B629" s="6" t="s">
        <v>12</v>
      </c>
      <c r="C629" s="7">
        <v>13.63</v>
      </c>
      <c r="D629" s="7">
        <v>9.6999999999999993</v>
      </c>
      <c r="E629" s="8">
        <v>2000</v>
      </c>
      <c r="F629" s="6">
        <v>1000</v>
      </c>
      <c r="G629" s="8">
        <v>3850</v>
      </c>
      <c r="H629" s="9">
        <f t="shared" si="49"/>
        <v>6850</v>
      </c>
      <c r="I629" s="9">
        <v>115151</v>
      </c>
      <c r="J629" s="9">
        <v>122001</v>
      </c>
      <c r="K629" s="10">
        <v>119223</v>
      </c>
    </row>
    <row r="630" spans="1:11" ht="15.75">
      <c r="A630" s="5">
        <v>44752</v>
      </c>
      <c r="B630" s="6" t="s">
        <v>12</v>
      </c>
      <c r="C630" s="7">
        <v>12.74</v>
      </c>
      <c r="D630" s="7">
        <v>6.8</v>
      </c>
      <c r="E630" s="8">
        <v>2000</v>
      </c>
      <c r="F630" s="6">
        <v>1000</v>
      </c>
      <c r="G630" s="8">
        <v>3850</v>
      </c>
      <c r="H630" s="9">
        <f t="shared" si="49"/>
        <v>6850</v>
      </c>
      <c r="I630" s="9">
        <v>189576</v>
      </c>
      <c r="J630" s="9">
        <v>196426</v>
      </c>
      <c r="K630" s="10">
        <v>189673</v>
      </c>
    </row>
    <row r="631" spans="1:11" ht="15.75">
      <c r="A631" s="5">
        <v>44753</v>
      </c>
      <c r="B631" s="6" t="s">
        <v>12</v>
      </c>
      <c r="C631" s="7">
        <v>12.59</v>
      </c>
      <c r="D631" s="7">
        <v>6.3</v>
      </c>
      <c r="E631" s="8">
        <v>1500</v>
      </c>
      <c r="F631" s="6">
        <v>1000</v>
      </c>
      <c r="G631" s="8">
        <v>3850</v>
      </c>
      <c r="H631" s="9">
        <f t="shared" si="49"/>
        <v>6350</v>
      </c>
      <c r="I631" s="9">
        <v>369284</v>
      </c>
      <c r="J631" s="9">
        <v>375634</v>
      </c>
      <c r="K631" s="10">
        <v>374533</v>
      </c>
    </row>
    <row r="632" spans="1:11" ht="15.75">
      <c r="A632" s="5">
        <v>44754</v>
      </c>
      <c r="B632" s="6" t="s">
        <v>12</v>
      </c>
      <c r="C632" s="7">
        <v>14.72</v>
      </c>
      <c r="D632" s="7">
        <v>13.3</v>
      </c>
      <c r="E632" s="8">
        <v>1000</v>
      </c>
      <c r="F632" s="8">
        <v>1000</v>
      </c>
      <c r="G632" s="6">
        <v>2000</v>
      </c>
      <c r="H632" s="9">
        <f t="shared" si="49"/>
        <v>4000</v>
      </c>
      <c r="I632" s="9">
        <v>1228699</v>
      </c>
      <c r="J632" s="9">
        <v>1232699</v>
      </c>
      <c r="K632" s="10">
        <v>1232699</v>
      </c>
    </row>
    <row r="633" spans="1:11" ht="15.75">
      <c r="A633" s="5">
        <v>44755</v>
      </c>
      <c r="B633" s="6" t="s">
        <v>12</v>
      </c>
      <c r="C633" s="7">
        <v>15.27</v>
      </c>
      <c r="D633" s="7">
        <v>15.1</v>
      </c>
      <c r="E633" s="8">
        <v>1500</v>
      </c>
      <c r="F633" s="6">
        <v>1000</v>
      </c>
      <c r="G633" s="8">
        <v>1000</v>
      </c>
      <c r="H633" s="9">
        <f t="shared" si="49"/>
        <v>3500</v>
      </c>
      <c r="I633" s="9">
        <v>1504449</v>
      </c>
      <c r="J633" s="9">
        <v>1507949</v>
      </c>
      <c r="K633" s="10">
        <v>1507949</v>
      </c>
    </row>
    <row r="634" spans="1:11" ht="15.75">
      <c r="A634" s="5">
        <v>44756</v>
      </c>
      <c r="B634" s="6" t="s">
        <v>12</v>
      </c>
      <c r="C634" s="7">
        <v>15.33</v>
      </c>
      <c r="D634" s="7">
        <v>15.3</v>
      </c>
      <c r="E634" s="8">
        <v>1800</v>
      </c>
      <c r="F634" s="6">
        <v>1400</v>
      </c>
      <c r="G634" s="6">
        <v>500</v>
      </c>
      <c r="H634" s="9">
        <f t="shared" si="49"/>
        <v>3700</v>
      </c>
      <c r="I634" s="9">
        <v>1537383</v>
      </c>
      <c r="J634" s="9">
        <v>1541083</v>
      </c>
      <c r="K634" s="10">
        <v>1541083</v>
      </c>
    </row>
    <row r="635" spans="1:11" ht="15.75">
      <c r="A635" s="5">
        <v>44757</v>
      </c>
      <c r="B635" s="6" t="s">
        <v>12</v>
      </c>
      <c r="C635" s="7">
        <v>15.97</v>
      </c>
      <c r="D635" s="7">
        <v>17.399999999999999</v>
      </c>
      <c r="E635" s="8">
        <v>2300</v>
      </c>
      <c r="F635" s="6">
        <v>1700</v>
      </c>
      <c r="G635" s="6">
        <v>1000</v>
      </c>
      <c r="H635" s="9">
        <f t="shared" si="49"/>
        <v>5000</v>
      </c>
      <c r="I635" s="9">
        <v>1865823</v>
      </c>
      <c r="J635" s="9">
        <v>1870823</v>
      </c>
      <c r="K635" s="10">
        <v>1870823</v>
      </c>
    </row>
    <row r="636" spans="1:11" ht="15.75">
      <c r="A636" s="5">
        <v>44758</v>
      </c>
      <c r="B636" s="6" t="s">
        <v>12</v>
      </c>
      <c r="C636" s="7">
        <v>16.920000000000002</v>
      </c>
      <c r="D636" s="7">
        <v>20.5</v>
      </c>
      <c r="E636" s="8">
        <v>3800</v>
      </c>
      <c r="F636" s="6">
        <v>1700</v>
      </c>
      <c r="G636" s="6">
        <v>5000</v>
      </c>
      <c r="H636" s="9">
        <f t="shared" si="49"/>
        <v>10500</v>
      </c>
      <c r="I636" s="9">
        <v>2363638</v>
      </c>
      <c r="J636" s="9">
        <v>2374138</v>
      </c>
      <c r="K636" s="10">
        <v>2374138</v>
      </c>
    </row>
    <row r="637" spans="1:11" ht="15.75">
      <c r="A637" s="5">
        <v>44759</v>
      </c>
      <c r="B637" s="6" t="s">
        <v>12</v>
      </c>
      <c r="C637" s="7">
        <v>17.28</v>
      </c>
      <c r="D637" s="7">
        <v>21.7</v>
      </c>
      <c r="E637" s="8">
        <v>3800</v>
      </c>
      <c r="F637" s="6">
        <v>1700</v>
      </c>
      <c r="G637" s="6">
        <v>6000</v>
      </c>
      <c r="H637" s="9">
        <f t="shared" si="49"/>
        <v>11500</v>
      </c>
      <c r="I637" s="9">
        <v>2580963</v>
      </c>
      <c r="J637" s="9">
        <v>2592463</v>
      </c>
      <c r="K637" s="10">
        <v>2592463</v>
      </c>
    </row>
    <row r="638" spans="1:11" ht="15.75">
      <c r="A638" s="5">
        <v>44760</v>
      </c>
      <c r="B638" s="6" t="s">
        <v>12</v>
      </c>
      <c r="C638" s="7">
        <v>16.8</v>
      </c>
      <c r="D638" s="7">
        <v>20.100000000000001</v>
      </c>
      <c r="E638" s="8">
        <v>3000</v>
      </c>
      <c r="F638" s="6">
        <v>1700</v>
      </c>
      <c r="G638" s="6">
        <v>4000</v>
      </c>
      <c r="H638" s="9">
        <f t="shared" si="49"/>
        <v>8700</v>
      </c>
      <c r="I638" s="9">
        <v>2314149</v>
      </c>
      <c r="J638" s="9">
        <v>2322849</v>
      </c>
      <c r="K638" s="10">
        <v>2322849</v>
      </c>
    </row>
    <row r="639" spans="1:11" ht="15.75">
      <c r="A639" s="5">
        <v>44761</v>
      </c>
      <c r="B639" s="6" t="s">
        <v>12</v>
      </c>
      <c r="C639" s="7">
        <v>16.16</v>
      </c>
      <c r="D639" s="7">
        <v>18</v>
      </c>
      <c r="E639" s="8">
        <v>2000</v>
      </c>
      <c r="F639" s="6">
        <v>1250</v>
      </c>
      <c r="G639" s="6">
        <v>2000</v>
      </c>
      <c r="H639" s="9">
        <f t="shared" si="49"/>
        <v>5250</v>
      </c>
      <c r="I639" s="9">
        <v>1957341</v>
      </c>
      <c r="J639" s="9">
        <v>1962591</v>
      </c>
      <c r="K639" s="10">
        <v>1962591</v>
      </c>
    </row>
    <row r="640" spans="1:11" ht="15.75">
      <c r="A640" s="5">
        <v>44762</v>
      </c>
      <c r="B640" s="6" t="s">
        <v>12</v>
      </c>
      <c r="C640" s="7">
        <v>15.7</v>
      </c>
      <c r="D640" s="7">
        <v>16.5</v>
      </c>
      <c r="E640" s="8">
        <v>2000</v>
      </c>
      <c r="F640" s="6">
        <v>1400</v>
      </c>
      <c r="G640" s="6">
        <v>2000</v>
      </c>
      <c r="H640" s="9">
        <f t="shared" si="49"/>
        <v>5400</v>
      </c>
      <c r="I640" s="9">
        <v>1715702</v>
      </c>
      <c r="J640" s="9">
        <v>1721102</v>
      </c>
      <c r="K640" s="10">
        <v>1721102</v>
      </c>
    </row>
    <row r="641" spans="1:11" ht="15.75">
      <c r="A641" s="5">
        <v>44763</v>
      </c>
      <c r="B641" s="6" t="s">
        <v>12</v>
      </c>
      <c r="C641" s="7">
        <v>15.06</v>
      </c>
      <c r="D641" s="7">
        <v>14.4</v>
      </c>
      <c r="E641" s="8">
        <v>2000</v>
      </c>
      <c r="F641" s="6">
        <v>1400</v>
      </c>
      <c r="G641" s="6">
        <v>2000</v>
      </c>
      <c r="H641" s="9">
        <f t="shared" si="49"/>
        <v>5400</v>
      </c>
      <c r="I641" s="9">
        <v>1380063</v>
      </c>
      <c r="J641" s="9">
        <v>1385463</v>
      </c>
      <c r="K641" s="10">
        <v>1385463</v>
      </c>
    </row>
    <row r="642" spans="1:11" ht="15.75">
      <c r="A642" s="5">
        <v>44764</v>
      </c>
      <c r="B642" s="6" t="s">
        <v>12</v>
      </c>
      <c r="C642" s="7">
        <v>14.84</v>
      </c>
      <c r="D642" s="7">
        <v>13.7</v>
      </c>
      <c r="E642" s="8">
        <v>2500</v>
      </c>
      <c r="F642" s="6">
        <v>1700</v>
      </c>
      <c r="G642" s="6">
        <v>3500</v>
      </c>
      <c r="H642" s="9">
        <f t="shared" si="49"/>
        <v>7700</v>
      </c>
      <c r="I642" s="9">
        <v>1262289</v>
      </c>
      <c r="J642" s="9">
        <v>1269989</v>
      </c>
      <c r="K642" s="10">
        <v>1269989</v>
      </c>
    </row>
    <row r="643" spans="1:11" ht="15.75">
      <c r="A643" s="5">
        <v>44765</v>
      </c>
      <c r="B643" s="6" t="s">
        <v>12</v>
      </c>
      <c r="C643" s="7">
        <v>14.39</v>
      </c>
      <c r="D643" s="7">
        <v>12.2</v>
      </c>
      <c r="E643" s="8">
        <v>2500</v>
      </c>
      <c r="F643" s="6">
        <v>1400</v>
      </c>
      <c r="G643" s="6">
        <v>2000</v>
      </c>
      <c r="H643" s="9">
        <f t="shared" si="49"/>
        <v>5900</v>
      </c>
      <c r="I643" s="9">
        <v>1048847</v>
      </c>
      <c r="J643" s="9">
        <v>1054747</v>
      </c>
      <c r="K643" s="10">
        <v>1054747</v>
      </c>
    </row>
    <row r="644" spans="1:11" ht="15.75">
      <c r="A644" s="5">
        <v>44766</v>
      </c>
      <c r="B644" s="6" t="s">
        <v>12</v>
      </c>
      <c r="C644" s="7">
        <v>14.45</v>
      </c>
      <c r="D644" s="7">
        <v>12.4</v>
      </c>
      <c r="E644" s="8">
        <v>2100</v>
      </c>
      <c r="F644" s="6">
        <v>1100</v>
      </c>
      <c r="G644" s="6">
        <v>2000</v>
      </c>
      <c r="H644" s="9">
        <f t="shared" si="49"/>
        <v>5200</v>
      </c>
      <c r="I644" s="9">
        <v>1075211</v>
      </c>
      <c r="J644" s="9">
        <v>1080411</v>
      </c>
      <c r="K644" s="10">
        <v>1080411</v>
      </c>
    </row>
    <row r="645" spans="1:11" ht="15.75">
      <c r="A645" s="5">
        <v>44767</v>
      </c>
      <c r="B645" s="6" t="s">
        <v>12</v>
      </c>
      <c r="C645" s="7">
        <v>14.02</v>
      </c>
      <c r="D645" s="7">
        <v>11</v>
      </c>
      <c r="E645" s="8">
        <v>2100</v>
      </c>
      <c r="F645" s="6">
        <v>1100</v>
      </c>
      <c r="G645" s="6">
        <v>2000</v>
      </c>
      <c r="H645" s="9">
        <f t="shared" si="49"/>
        <v>5200</v>
      </c>
      <c r="I645" s="9">
        <v>860680</v>
      </c>
      <c r="J645" s="9">
        <v>865880</v>
      </c>
      <c r="K645" s="10">
        <v>865880</v>
      </c>
    </row>
    <row r="646" spans="1:11" ht="15.75">
      <c r="A646" s="5">
        <v>44768</v>
      </c>
      <c r="B646" s="6" t="s">
        <v>12</v>
      </c>
      <c r="C646" s="7">
        <v>14.23</v>
      </c>
      <c r="D646" s="7">
        <v>11.7</v>
      </c>
      <c r="E646" s="8">
        <v>2500</v>
      </c>
      <c r="F646" s="6">
        <v>1400</v>
      </c>
      <c r="G646" s="6">
        <v>2500</v>
      </c>
      <c r="H646" s="9">
        <f t="shared" si="49"/>
        <v>6400</v>
      </c>
      <c r="I646" s="9">
        <v>959784</v>
      </c>
      <c r="J646" s="9">
        <v>967184</v>
      </c>
      <c r="K646" s="10">
        <v>967184</v>
      </c>
    </row>
    <row r="647" spans="1:11" ht="15.75">
      <c r="A647" s="5">
        <v>44769</v>
      </c>
      <c r="B647" s="6" t="s">
        <v>12</v>
      </c>
      <c r="C647" s="7">
        <v>14.23</v>
      </c>
      <c r="D647" s="7">
        <v>11.7</v>
      </c>
      <c r="E647" s="8">
        <v>2500</v>
      </c>
      <c r="F647" s="6">
        <v>1400</v>
      </c>
      <c r="G647" s="6">
        <v>5000</v>
      </c>
      <c r="H647" s="9">
        <f t="shared" si="49"/>
        <v>8900</v>
      </c>
      <c r="I647" s="9">
        <v>959784</v>
      </c>
      <c r="J647" s="9">
        <v>968684</v>
      </c>
      <c r="K647" s="9">
        <v>968684</v>
      </c>
    </row>
    <row r="648" spans="1:11" ht="15.75">
      <c r="A648" s="5">
        <v>44770</v>
      </c>
      <c r="B648" s="6" t="s">
        <v>12</v>
      </c>
      <c r="C648" s="7">
        <v>14.08</v>
      </c>
      <c r="D648" s="7">
        <v>11.2</v>
      </c>
      <c r="E648" s="8">
        <v>2500</v>
      </c>
      <c r="F648" s="6">
        <v>1400</v>
      </c>
      <c r="G648" s="6">
        <v>5000</v>
      </c>
      <c r="H648" s="9">
        <f t="shared" si="49"/>
        <v>8900</v>
      </c>
      <c r="I648" s="9">
        <v>890844</v>
      </c>
      <c r="J648" s="9">
        <v>899744</v>
      </c>
      <c r="K648" s="9">
        <v>899744</v>
      </c>
    </row>
    <row r="649" spans="1:11" ht="15.75">
      <c r="A649" s="5">
        <v>44771</v>
      </c>
      <c r="B649" s="6" t="s">
        <v>12</v>
      </c>
      <c r="C649" s="7">
        <v>13.75</v>
      </c>
      <c r="D649" s="7">
        <v>10.1</v>
      </c>
      <c r="E649" s="8">
        <v>3000</v>
      </c>
      <c r="F649" s="6">
        <v>1600</v>
      </c>
      <c r="G649" s="6">
        <v>5000</v>
      </c>
      <c r="H649" s="9">
        <f t="shared" si="49"/>
        <v>9600</v>
      </c>
      <c r="I649" s="9">
        <v>750343</v>
      </c>
      <c r="J649" s="9">
        <v>759943</v>
      </c>
      <c r="K649" s="9">
        <v>757859</v>
      </c>
    </row>
    <row r="650" spans="1:11" ht="15.75">
      <c r="A650" s="5">
        <v>44772</v>
      </c>
      <c r="B650" s="6" t="s">
        <v>12</v>
      </c>
      <c r="C650" s="7">
        <v>13.63</v>
      </c>
      <c r="D650" s="7">
        <v>9.6999999999999993</v>
      </c>
      <c r="E650" s="8">
        <v>3500</v>
      </c>
      <c r="F650" s="6">
        <v>1600</v>
      </c>
      <c r="G650" s="6">
        <v>5000</v>
      </c>
      <c r="H650" s="9">
        <f t="shared" si="49"/>
        <v>10100</v>
      </c>
      <c r="I650" s="9">
        <v>700602</v>
      </c>
      <c r="J650" s="9">
        <v>710702</v>
      </c>
      <c r="K650" s="9">
        <v>709776</v>
      </c>
    </row>
    <row r="651" spans="1:11" ht="15.75">
      <c r="A651" s="5">
        <v>44773</v>
      </c>
      <c r="B651" s="6" t="s">
        <v>12</v>
      </c>
      <c r="C651" s="7">
        <v>13.08</v>
      </c>
      <c r="D651" s="7">
        <v>7.9</v>
      </c>
      <c r="E651" s="8">
        <v>3200</v>
      </c>
      <c r="F651" s="6">
        <v>1600</v>
      </c>
      <c r="G651" s="6">
        <v>5000</v>
      </c>
      <c r="H651" s="14">
        <f t="shared" si="49"/>
        <v>9800</v>
      </c>
      <c r="I651" s="9">
        <v>499589</v>
      </c>
      <c r="J651" s="9">
        <v>509389</v>
      </c>
      <c r="K651" s="9">
        <v>505178</v>
      </c>
    </row>
    <row r="652" spans="1:11" ht="15.75">
      <c r="A652" s="2" t="s">
        <v>13</v>
      </c>
      <c r="B652" s="2"/>
      <c r="C652" s="2"/>
      <c r="D652" s="2"/>
      <c r="E652" s="11">
        <f>SUM(E621:E651)</f>
        <v>77500</v>
      </c>
      <c r="F652" s="11">
        <f>SUM(F621:F651)</f>
        <v>43230</v>
      </c>
      <c r="G652" s="11">
        <f>SUM(G621:G651)</f>
        <v>107850</v>
      </c>
      <c r="H652" s="11">
        <f>SUM(H622:H651)</f>
        <v>221230</v>
      </c>
      <c r="I652" s="11">
        <f>SUM(I621:I651)</f>
        <v>28201312</v>
      </c>
      <c r="J652" s="11">
        <f>SUM(J621:J651)</f>
        <v>28430892</v>
      </c>
      <c r="K652" s="11">
        <f>SUM(K621:K651)</f>
        <v>28422790</v>
      </c>
    </row>
    <row r="653" spans="1:11" ht="15.75">
      <c r="A653" s="12"/>
      <c r="B653" s="2"/>
      <c r="C653" s="2"/>
      <c r="D653" s="2"/>
      <c r="E653" s="13">
        <f t="shared" ref="E653:K653" si="50">SUM(E652/11575)</f>
        <v>6.6954643628509718</v>
      </c>
      <c r="F653" s="13">
        <f t="shared" si="50"/>
        <v>3.7347732181425486</v>
      </c>
      <c r="G653" s="13">
        <f t="shared" si="50"/>
        <v>9.3174946004319654</v>
      </c>
      <c r="H653" s="13">
        <f t="shared" si="50"/>
        <v>19.112742980561556</v>
      </c>
      <c r="I653" s="13">
        <f t="shared" si="50"/>
        <v>2436.3984449244062</v>
      </c>
      <c r="J653" s="13">
        <f t="shared" si="50"/>
        <v>2456.2325701943846</v>
      </c>
      <c r="K653" s="13">
        <f t="shared" si="50"/>
        <v>2455.5326133909289</v>
      </c>
    </row>
    <row r="654" spans="1:11" ht="15.75">
      <c r="A654" s="1" t="s">
        <v>38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47.25">
      <c r="A655" s="2" t="s">
        <v>1</v>
      </c>
      <c r="B655" s="2" t="s">
        <v>2</v>
      </c>
      <c r="C655" s="3" t="s">
        <v>18</v>
      </c>
      <c r="D655" s="3" t="s">
        <v>4</v>
      </c>
      <c r="E655" s="3" t="s">
        <v>5</v>
      </c>
      <c r="F655" s="3" t="s">
        <v>6</v>
      </c>
      <c r="G655" s="3" t="s">
        <v>7</v>
      </c>
      <c r="H655" s="3" t="s">
        <v>8</v>
      </c>
      <c r="I655" s="3" t="s">
        <v>9</v>
      </c>
      <c r="J655" s="3" t="s">
        <v>19</v>
      </c>
      <c r="K655" s="4" t="s">
        <v>11</v>
      </c>
    </row>
    <row r="656" spans="1:11" ht="15.75">
      <c r="A656" s="5">
        <v>44774</v>
      </c>
      <c r="B656" s="6" t="s">
        <v>12</v>
      </c>
      <c r="C656" s="7">
        <v>12.65</v>
      </c>
      <c r="D656" s="7">
        <v>6.5</v>
      </c>
      <c r="E656" s="8">
        <v>3200</v>
      </c>
      <c r="F656" s="8">
        <v>1600</v>
      </c>
      <c r="G656" s="8">
        <v>5000</v>
      </c>
      <c r="H656" s="14">
        <f t="shared" ref="H656:H686" si="51">E656+F656+G656</f>
        <v>9800</v>
      </c>
      <c r="I656" s="9">
        <v>364540</v>
      </c>
      <c r="J656" s="9">
        <v>374340</v>
      </c>
      <c r="K656" s="10">
        <v>371137</v>
      </c>
    </row>
    <row r="657" spans="1:11" ht="15.75">
      <c r="A657" s="5">
        <v>44775</v>
      </c>
      <c r="B657" s="6" t="s">
        <v>12</v>
      </c>
      <c r="C657" s="7">
        <v>12.96</v>
      </c>
      <c r="D657" s="7">
        <v>7.5</v>
      </c>
      <c r="E657" s="8">
        <v>3500</v>
      </c>
      <c r="F657" s="6">
        <v>1600</v>
      </c>
      <c r="G657" s="8">
        <v>5000</v>
      </c>
      <c r="H657" s="14">
        <f t="shared" si="51"/>
        <v>10100</v>
      </c>
      <c r="I657" s="9">
        <v>302792</v>
      </c>
      <c r="J657" s="9">
        <v>312892</v>
      </c>
      <c r="K657" s="10">
        <v>315194</v>
      </c>
    </row>
    <row r="658" spans="1:11" ht="15.75">
      <c r="A658" s="5">
        <v>44776</v>
      </c>
      <c r="B658" s="6" t="s">
        <v>12</v>
      </c>
      <c r="C658" s="7">
        <v>12.77</v>
      </c>
      <c r="D658" s="7">
        <v>6.9</v>
      </c>
      <c r="E658" s="8">
        <v>3500</v>
      </c>
      <c r="F658" s="6">
        <v>1800</v>
      </c>
      <c r="G658" s="8">
        <v>6000</v>
      </c>
      <c r="H658" s="14">
        <f t="shared" si="51"/>
        <v>11300</v>
      </c>
      <c r="I658" s="9">
        <v>276712</v>
      </c>
      <c r="J658" s="9">
        <v>288012</v>
      </c>
      <c r="K658" s="10">
        <v>286594</v>
      </c>
    </row>
    <row r="659" spans="1:11" ht="15.75">
      <c r="A659" s="5">
        <v>44777</v>
      </c>
      <c r="B659" s="6" t="s">
        <v>12</v>
      </c>
      <c r="C659" s="7">
        <v>13.14</v>
      </c>
      <c r="D659" s="7">
        <v>8.1</v>
      </c>
      <c r="E659" s="8">
        <v>3700</v>
      </c>
      <c r="F659" s="6">
        <v>2000</v>
      </c>
      <c r="G659" s="8">
        <v>6500</v>
      </c>
      <c r="H659" s="14">
        <f t="shared" si="51"/>
        <v>12200</v>
      </c>
      <c r="I659" s="9">
        <v>251088</v>
      </c>
      <c r="J659" s="9">
        <v>263288</v>
      </c>
      <c r="K659" s="10">
        <v>266063</v>
      </c>
    </row>
    <row r="660" spans="1:11" ht="15.75">
      <c r="A660" s="5">
        <v>44778</v>
      </c>
      <c r="B660" s="6" t="s">
        <v>12</v>
      </c>
      <c r="C660" s="7">
        <v>13.29</v>
      </c>
      <c r="D660" s="7">
        <v>8.4</v>
      </c>
      <c r="E660" s="8">
        <v>3400</v>
      </c>
      <c r="F660" s="6">
        <v>2200</v>
      </c>
      <c r="G660" s="8">
        <v>6500</v>
      </c>
      <c r="H660" s="14">
        <f t="shared" si="51"/>
        <v>12100</v>
      </c>
      <c r="I660" s="9">
        <v>199955</v>
      </c>
      <c r="J660" s="9">
        <v>212055</v>
      </c>
      <c r="K660" s="9">
        <v>212738</v>
      </c>
    </row>
    <row r="661" spans="1:11" ht="15.75">
      <c r="A661" s="5">
        <v>44779</v>
      </c>
      <c r="B661" s="6" t="s">
        <v>12</v>
      </c>
      <c r="C661" s="7">
        <v>13.29</v>
      </c>
      <c r="D661" s="7">
        <v>8.6</v>
      </c>
      <c r="E661" s="8">
        <v>3000</v>
      </c>
      <c r="F661" s="6">
        <v>2200</v>
      </c>
      <c r="G661" s="8">
        <v>4500</v>
      </c>
      <c r="H661" s="14">
        <f t="shared" si="51"/>
        <v>9700</v>
      </c>
      <c r="I661" s="9">
        <v>203438</v>
      </c>
      <c r="J661" s="9">
        <v>213138</v>
      </c>
      <c r="K661" s="10">
        <v>213593</v>
      </c>
    </row>
    <row r="662" spans="1:11" ht="15.75">
      <c r="A662" s="5">
        <v>44780</v>
      </c>
      <c r="B662" s="6" t="s">
        <v>12</v>
      </c>
      <c r="C662" s="7">
        <v>13.75</v>
      </c>
      <c r="D662" s="7">
        <v>10.1</v>
      </c>
      <c r="E662" s="8">
        <v>3000</v>
      </c>
      <c r="F662" s="6">
        <v>2200</v>
      </c>
      <c r="G662" s="8">
        <v>4500</v>
      </c>
      <c r="H662" s="14">
        <f t="shared" si="51"/>
        <v>9700</v>
      </c>
      <c r="I662" s="9">
        <v>310843</v>
      </c>
      <c r="J662" s="9">
        <v>320543</v>
      </c>
      <c r="K662" s="10">
        <v>324086</v>
      </c>
    </row>
    <row r="663" spans="1:11" ht="15.75">
      <c r="A663" s="5">
        <v>44781</v>
      </c>
      <c r="B663" s="6" t="s">
        <v>12</v>
      </c>
      <c r="C663" s="7">
        <v>13.47</v>
      </c>
      <c r="D663" s="7">
        <v>9.1999999999999993</v>
      </c>
      <c r="E663" s="8">
        <v>2500</v>
      </c>
      <c r="F663" s="6">
        <v>1900</v>
      </c>
      <c r="G663" s="8">
        <v>2500</v>
      </c>
      <c r="H663" s="14">
        <f t="shared" si="51"/>
        <v>6900</v>
      </c>
      <c r="I663" s="9">
        <v>398024</v>
      </c>
      <c r="J663" s="9">
        <v>404924</v>
      </c>
      <c r="K663" s="10">
        <v>402764</v>
      </c>
    </row>
    <row r="664" spans="1:11" ht="15.75">
      <c r="A664" s="5">
        <v>44782</v>
      </c>
      <c r="B664" s="6" t="s">
        <v>12</v>
      </c>
      <c r="C664" s="7">
        <v>13.35</v>
      </c>
      <c r="D664" s="7">
        <v>8.8000000000000007</v>
      </c>
      <c r="E664" s="8">
        <v>2000</v>
      </c>
      <c r="F664" s="6">
        <v>1500</v>
      </c>
      <c r="G664" s="8">
        <v>2500</v>
      </c>
      <c r="H664" s="14">
        <f t="shared" si="51"/>
        <v>6000</v>
      </c>
      <c r="I664" s="9">
        <v>601738</v>
      </c>
      <c r="J664" s="9">
        <v>607738</v>
      </c>
      <c r="K664" s="10">
        <v>606811</v>
      </c>
    </row>
    <row r="665" spans="1:11" ht="15.75">
      <c r="A665" s="5">
        <v>44783</v>
      </c>
      <c r="B665" s="6" t="s">
        <v>12</v>
      </c>
      <c r="C665" s="7">
        <v>14.23</v>
      </c>
      <c r="D665" s="7">
        <v>11.7</v>
      </c>
      <c r="E665" s="8">
        <v>2000</v>
      </c>
      <c r="F665" s="6">
        <v>1500</v>
      </c>
      <c r="G665" s="8">
        <v>2500</v>
      </c>
      <c r="H665" s="14">
        <f t="shared" si="51"/>
        <v>6000</v>
      </c>
      <c r="I665" s="9">
        <v>962394</v>
      </c>
      <c r="J665" s="9">
        <v>968394</v>
      </c>
      <c r="K665" s="10">
        <v>973565</v>
      </c>
    </row>
    <row r="666" spans="1:11" ht="15.75">
      <c r="A666" s="5">
        <v>44784</v>
      </c>
      <c r="B666" s="6" t="s">
        <v>12</v>
      </c>
      <c r="C666" s="7">
        <v>14.96</v>
      </c>
      <c r="D666" s="7">
        <v>14.1</v>
      </c>
      <c r="E666" s="8">
        <v>2500</v>
      </c>
      <c r="F666" s="6">
        <v>1500</v>
      </c>
      <c r="G666" s="8">
        <v>2500</v>
      </c>
      <c r="H666" s="14">
        <f t="shared" si="51"/>
        <v>6500</v>
      </c>
      <c r="I666" s="9">
        <v>1330883</v>
      </c>
      <c r="J666" s="9">
        <v>1337383</v>
      </c>
      <c r="K666" s="10">
        <v>1337383</v>
      </c>
    </row>
    <row r="667" spans="1:11" ht="15.75">
      <c r="A667" s="5">
        <v>44785</v>
      </c>
      <c r="B667" s="6" t="s">
        <v>12</v>
      </c>
      <c r="C667" s="7">
        <v>15.24</v>
      </c>
      <c r="D667" s="7">
        <v>15</v>
      </c>
      <c r="E667" s="8">
        <v>3200</v>
      </c>
      <c r="F667" s="8">
        <v>1500</v>
      </c>
      <c r="G667" s="6">
        <v>2500</v>
      </c>
      <c r="H667" s="14">
        <f t="shared" si="51"/>
        <v>7200</v>
      </c>
      <c r="I667" s="9">
        <v>1470609</v>
      </c>
      <c r="J667" s="9">
        <v>1477809</v>
      </c>
      <c r="K667" s="10">
        <v>1477809</v>
      </c>
    </row>
    <row r="668" spans="1:11" ht="15.75">
      <c r="A668" s="5">
        <v>44786</v>
      </c>
      <c r="B668" s="6" t="s">
        <v>12</v>
      </c>
      <c r="C668" s="7">
        <v>15.27</v>
      </c>
      <c r="D668" s="7">
        <v>15.1</v>
      </c>
      <c r="E668" s="8">
        <v>3200</v>
      </c>
      <c r="F668" s="6">
        <v>1800</v>
      </c>
      <c r="G668" s="8">
        <v>4000</v>
      </c>
      <c r="H668" s="14">
        <f t="shared" si="51"/>
        <v>9000</v>
      </c>
      <c r="I668" s="9">
        <v>1494850</v>
      </c>
      <c r="J668" s="9">
        <v>1503850</v>
      </c>
      <c r="K668" s="10">
        <v>1503850</v>
      </c>
    </row>
    <row r="669" spans="1:11" ht="15.75">
      <c r="A669" s="5">
        <v>44787</v>
      </c>
      <c r="B669" s="6" t="s">
        <v>12</v>
      </c>
      <c r="C669" s="7">
        <v>15.21</v>
      </c>
      <c r="D669" s="7">
        <v>14.9</v>
      </c>
      <c r="E669" s="8">
        <v>3200</v>
      </c>
      <c r="F669" s="6">
        <v>1500</v>
      </c>
      <c r="G669" s="6">
        <v>4000</v>
      </c>
      <c r="H669" s="14">
        <f t="shared" si="51"/>
        <v>8700</v>
      </c>
      <c r="I669" s="9">
        <v>1462217</v>
      </c>
      <c r="J669" s="9">
        <v>1471217</v>
      </c>
      <c r="K669" s="10">
        <v>1471217</v>
      </c>
    </row>
    <row r="670" spans="1:11" ht="15.75">
      <c r="A670" s="5">
        <v>44788</v>
      </c>
      <c r="B670" s="6" t="s">
        <v>12</v>
      </c>
      <c r="C670" s="7">
        <v>15.15</v>
      </c>
      <c r="D670" s="7">
        <v>14.7</v>
      </c>
      <c r="E670" s="8">
        <v>3200</v>
      </c>
      <c r="F670" s="6">
        <v>1800</v>
      </c>
      <c r="G670" s="6">
        <v>4000</v>
      </c>
      <c r="H670" s="14">
        <f t="shared" si="51"/>
        <v>9000</v>
      </c>
      <c r="I670" s="9">
        <v>1429804</v>
      </c>
      <c r="J670" s="9">
        <v>1438804</v>
      </c>
      <c r="K670" s="10">
        <v>1438804</v>
      </c>
    </row>
    <row r="671" spans="1:11" ht="15.75">
      <c r="A671" s="5">
        <v>44789</v>
      </c>
      <c r="B671" s="6" t="s">
        <v>12</v>
      </c>
      <c r="C671" s="7">
        <v>14.87</v>
      </c>
      <c r="D671" s="7">
        <v>13.8</v>
      </c>
      <c r="E671" s="8">
        <v>3200</v>
      </c>
      <c r="F671" s="6">
        <v>1800</v>
      </c>
      <c r="G671" s="6">
        <v>5500</v>
      </c>
      <c r="H671" s="14">
        <f t="shared" si="51"/>
        <v>10500</v>
      </c>
      <c r="I671" s="9">
        <v>1294222</v>
      </c>
      <c r="J671" s="9">
        <v>1304722</v>
      </c>
      <c r="K671" s="10">
        <v>1304722</v>
      </c>
    </row>
    <row r="672" spans="1:11" ht="15.75">
      <c r="A672" s="5">
        <v>44790</v>
      </c>
      <c r="B672" s="6" t="s">
        <v>12</v>
      </c>
      <c r="C672" s="7">
        <v>15.18</v>
      </c>
      <c r="D672" s="7">
        <v>14.8</v>
      </c>
      <c r="E672" s="8">
        <v>3500</v>
      </c>
      <c r="F672" s="6">
        <v>1800</v>
      </c>
      <c r="G672" s="6">
        <v>5500</v>
      </c>
      <c r="H672" s="14">
        <f t="shared" si="51"/>
        <v>10800</v>
      </c>
      <c r="I672" s="9">
        <v>1435055</v>
      </c>
      <c r="J672" s="9">
        <v>1445855</v>
      </c>
      <c r="K672" s="10">
        <v>1445855</v>
      </c>
    </row>
    <row r="673" spans="1:11" ht="15.75">
      <c r="A673" s="5">
        <v>44791</v>
      </c>
      <c r="B673" s="6" t="s">
        <v>12</v>
      </c>
      <c r="C673" s="7">
        <v>15.45</v>
      </c>
      <c r="D673" s="7">
        <v>15.7</v>
      </c>
      <c r="E673" s="8">
        <v>3700</v>
      </c>
      <c r="F673" s="6">
        <v>1800</v>
      </c>
      <c r="G673" s="6">
        <v>5500</v>
      </c>
      <c r="H673" s="14">
        <f t="shared" si="51"/>
        <v>11000</v>
      </c>
      <c r="I673" s="9">
        <v>1581017</v>
      </c>
      <c r="J673" s="9">
        <v>1592017</v>
      </c>
      <c r="K673" s="10">
        <v>1592017</v>
      </c>
    </row>
    <row r="674" spans="1:11" ht="15.75">
      <c r="A674" s="5">
        <v>44792</v>
      </c>
      <c r="B674" s="6" t="s">
        <v>12</v>
      </c>
      <c r="C674" s="7">
        <v>15.42</v>
      </c>
      <c r="D674" s="7">
        <v>15.6</v>
      </c>
      <c r="E674" s="8">
        <v>3700</v>
      </c>
      <c r="F674" s="6">
        <v>1800</v>
      </c>
      <c r="G674" s="6">
        <v>5500</v>
      </c>
      <c r="H674" s="14">
        <f t="shared" si="51"/>
        <v>11000</v>
      </c>
      <c r="I674" s="9">
        <v>1569252</v>
      </c>
      <c r="J674" s="9">
        <v>1580252</v>
      </c>
      <c r="K674" s="10">
        <v>1580252</v>
      </c>
    </row>
    <row r="675" spans="1:11" ht="15.75">
      <c r="A675" s="5">
        <v>44793</v>
      </c>
      <c r="B675" s="6" t="s">
        <v>12</v>
      </c>
      <c r="C675" s="7">
        <v>15.11</v>
      </c>
      <c r="D675" s="7">
        <v>14.6</v>
      </c>
      <c r="E675" s="8">
        <v>3700</v>
      </c>
      <c r="F675" s="6">
        <v>1800</v>
      </c>
      <c r="G675" s="6">
        <v>5500</v>
      </c>
      <c r="H675" s="14">
        <f t="shared" si="51"/>
        <v>11000</v>
      </c>
      <c r="I675" s="9">
        <v>1418357</v>
      </c>
      <c r="J675" s="9">
        <v>1429357</v>
      </c>
      <c r="K675" s="10">
        <v>1429357</v>
      </c>
    </row>
    <row r="676" spans="1:11" ht="15.75">
      <c r="A676" s="5">
        <v>44794</v>
      </c>
      <c r="B676" s="6" t="s">
        <v>12</v>
      </c>
      <c r="C676" s="7">
        <v>14.54</v>
      </c>
      <c r="D676" s="7">
        <v>12.7</v>
      </c>
      <c r="E676" s="8">
        <v>3700</v>
      </c>
      <c r="F676" s="6">
        <v>1800</v>
      </c>
      <c r="G676" s="6">
        <v>5500</v>
      </c>
      <c r="H676" s="14">
        <f t="shared" si="51"/>
        <v>11000</v>
      </c>
      <c r="I676" s="9">
        <v>1135364</v>
      </c>
      <c r="J676" s="9">
        <v>1146364</v>
      </c>
      <c r="K676" s="10">
        <v>1146364</v>
      </c>
    </row>
    <row r="677" spans="1:11" ht="15.75">
      <c r="A677" s="5">
        <v>44795</v>
      </c>
      <c r="B677" s="6" t="s">
        <v>12</v>
      </c>
      <c r="C677" s="7">
        <v>13.35</v>
      </c>
      <c r="D677" s="7">
        <v>8.8000000000000007</v>
      </c>
      <c r="E677" s="8">
        <v>3247</v>
      </c>
      <c r="F677" s="6">
        <v>1800</v>
      </c>
      <c r="G677" s="6">
        <v>4420</v>
      </c>
      <c r="H677" s="14">
        <f t="shared" si="51"/>
        <v>9467</v>
      </c>
      <c r="I677" s="9">
        <v>602007</v>
      </c>
      <c r="J677" s="9">
        <v>611474</v>
      </c>
      <c r="K677" s="10">
        <v>606303</v>
      </c>
    </row>
    <row r="678" spans="1:11" ht="15.75">
      <c r="A678" s="5">
        <v>44796</v>
      </c>
      <c r="B678" s="6" t="s">
        <v>12</v>
      </c>
      <c r="C678" s="7">
        <v>12.8</v>
      </c>
      <c r="D678" s="7">
        <v>7</v>
      </c>
      <c r="E678" s="8">
        <v>3500</v>
      </c>
      <c r="F678" s="6">
        <v>1800</v>
      </c>
      <c r="G678" s="6">
        <v>3000</v>
      </c>
      <c r="H678" s="14">
        <f t="shared" si="51"/>
        <v>8300</v>
      </c>
      <c r="I678" s="9">
        <v>408372</v>
      </c>
      <c r="J678" s="9">
        <v>416672</v>
      </c>
      <c r="K678" s="10">
        <v>412528</v>
      </c>
    </row>
    <row r="679" spans="1:11" ht="15.75">
      <c r="A679" s="5">
        <v>44797</v>
      </c>
      <c r="B679" s="6" t="s">
        <v>12</v>
      </c>
      <c r="C679" s="7">
        <v>13.69</v>
      </c>
      <c r="D679" s="7">
        <v>9.9</v>
      </c>
      <c r="E679" s="8">
        <v>4000</v>
      </c>
      <c r="F679" s="6">
        <v>2200</v>
      </c>
      <c r="G679" s="6">
        <v>6500</v>
      </c>
      <c r="H679" s="14">
        <f t="shared" si="51"/>
        <v>12700</v>
      </c>
      <c r="I679" s="9">
        <v>415664</v>
      </c>
      <c r="J679" s="9">
        <v>428364</v>
      </c>
      <c r="K679" s="10">
        <v>435132</v>
      </c>
    </row>
    <row r="680" spans="1:11" ht="15.75">
      <c r="A680" s="5">
        <v>44798</v>
      </c>
      <c r="B680" s="6" t="s">
        <v>12</v>
      </c>
      <c r="C680" s="7">
        <v>13.26</v>
      </c>
      <c r="D680" s="7">
        <v>8.5</v>
      </c>
      <c r="E680" s="8">
        <v>4000</v>
      </c>
      <c r="F680" s="6">
        <v>2200</v>
      </c>
      <c r="G680" s="6">
        <v>6500</v>
      </c>
      <c r="H680" s="14">
        <f t="shared" si="51"/>
        <v>12700</v>
      </c>
      <c r="I680" s="9">
        <v>355487</v>
      </c>
      <c r="J680" s="9">
        <v>368187</v>
      </c>
      <c r="K680" s="10">
        <v>364879</v>
      </c>
    </row>
    <row r="681" spans="1:11" ht="15.75">
      <c r="A681" s="5">
        <v>44799</v>
      </c>
      <c r="B681" s="6" t="s">
        <v>12</v>
      </c>
      <c r="C681" s="7">
        <v>13.47</v>
      </c>
      <c r="D681" s="7">
        <v>9.1999999999999993</v>
      </c>
      <c r="E681" s="8">
        <v>4000</v>
      </c>
      <c r="F681" s="6">
        <v>2200</v>
      </c>
      <c r="G681" s="6">
        <v>6500</v>
      </c>
      <c r="H681" s="14">
        <f t="shared" si="51"/>
        <v>12700</v>
      </c>
      <c r="I681" s="9">
        <v>311366</v>
      </c>
      <c r="J681" s="9">
        <v>324066</v>
      </c>
      <c r="K681" s="10">
        <v>325677</v>
      </c>
    </row>
    <row r="682" spans="1:11" ht="15.75">
      <c r="A682" s="5">
        <v>44800</v>
      </c>
      <c r="B682" s="6" t="s">
        <v>12</v>
      </c>
      <c r="C682" s="7">
        <v>13.66</v>
      </c>
      <c r="D682" s="7">
        <v>9.8000000000000007</v>
      </c>
      <c r="E682" s="8">
        <v>4200</v>
      </c>
      <c r="F682" s="6">
        <v>2200</v>
      </c>
      <c r="G682" s="6">
        <v>6500</v>
      </c>
      <c r="H682" s="14">
        <f t="shared" si="51"/>
        <v>12900</v>
      </c>
      <c r="I682" s="9">
        <v>255612</v>
      </c>
      <c r="J682" s="9">
        <v>268512</v>
      </c>
      <c r="K682" s="9">
        <v>269977</v>
      </c>
    </row>
    <row r="683" spans="1:11" ht="15.75">
      <c r="A683" s="5">
        <v>44801</v>
      </c>
      <c r="B683" s="6" t="s">
        <v>12</v>
      </c>
      <c r="C683" s="7">
        <v>13.66</v>
      </c>
      <c r="D683" s="7">
        <v>9.8000000000000007</v>
      </c>
      <c r="E683" s="8">
        <v>4400</v>
      </c>
      <c r="F683" s="6">
        <v>2200</v>
      </c>
      <c r="G683" s="6">
        <v>6500</v>
      </c>
      <c r="H683" s="14">
        <f t="shared" si="51"/>
        <v>13100</v>
      </c>
      <c r="I683" s="9">
        <v>243273</v>
      </c>
      <c r="J683" s="9">
        <v>256373</v>
      </c>
      <c r="K683" s="9">
        <v>256373</v>
      </c>
    </row>
    <row r="684" spans="1:11" ht="15.75">
      <c r="A684" s="5">
        <v>44802</v>
      </c>
      <c r="B684" s="6" t="s">
        <v>12</v>
      </c>
      <c r="C684" s="7">
        <v>13.9</v>
      </c>
      <c r="D684" s="7">
        <v>10.6</v>
      </c>
      <c r="E684" s="8">
        <v>4800</v>
      </c>
      <c r="F684" s="6">
        <v>2200</v>
      </c>
      <c r="G684" s="6">
        <v>6500</v>
      </c>
      <c r="H684" s="14">
        <f t="shared" si="51"/>
        <v>13500</v>
      </c>
      <c r="I684" s="9">
        <v>217043</v>
      </c>
      <c r="J684" s="9">
        <v>230543</v>
      </c>
      <c r="K684" s="9">
        <v>232395</v>
      </c>
    </row>
    <row r="685" spans="1:11" ht="15.75">
      <c r="A685" s="5">
        <v>44803</v>
      </c>
      <c r="B685" s="6" t="s">
        <v>12</v>
      </c>
      <c r="C685" s="7">
        <v>13.57</v>
      </c>
      <c r="D685" s="7">
        <v>9.5</v>
      </c>
      <c r="E685" s="8">
        <v>4800</v>
      </c>
      <c r="F685" s="6">
        <v>2200</v>
      </c>
      <c r="G685" s="6">
        <v>6500</v>
      </c>
      <c r="H685" s="14">
        <f t="shared" si="51"/>
        <v>13500</v>
      </c>
      <c r="I685" s="9">
        <v>203280</v>
      </c>
      <c r="J685" s="9">
        <v>216780</v>
      </c>
      <c r="K685" s="9">
        <v>214234</v>
      </c>
    </row>
    <row r="686" spans="1:11" ht="15.75">
      <c r="A686" s="5">
        <v>44804</v>
      </c>
      <c r="B686" s="6" t="s">
        <v>12</v>
      </c>
      <c r="C686" s="7">
        <v>13.99</v>
      </c>
      <c r="D686" s="7">
        <v>10.9</v>
      </c>
      <c r="E686" s="8">
        <v>4800</v>
      </c>
      <c r="F686" s="6">
        <v>2200</v>
      </c>
      <c r="G686" s="6">
        <v>6500</v>
      </c>
      <c r="H686" s="14">
        <f t="shared" si="51"/>
        <v>13500</v>
      </c>
      <c r="I686" s="9">
        <v>161408</v>
      </c>
      <c r="J686" s="9">
        <v>174908</v>
      </c>
      <c r="K686" s="9">
        <v>178149</v>
      </c>
    </row>
    <row r="687" spans="1:11" ht="15.75">
      <c r="A687" s="2" t="s">
        <v>13</v>
      </c>
      <c r="B687" s="2"/>
      <c r="C687" s="2"/>
      <c r="D687" s="2"/>
      <c r="E687" s="11">
        <f>SUM(E656:E686)</f>
        <v>108347</v>
      </c>
      <c r="F687" s="11">
        <f>SUM(F656:F686)</f>
        <v>58600</v>
      </c>
      <c r="G687" s="11">
        <f>SUM(G656:G686)</f>
        <v>154920</v>
      </c>
      <c r="H687" s="11">
        <f>SUM(H657:H686)</f>
        <v>312067</v>
      </c>
      <c r="I687" s="11">
        <f>SUM(I656:I686)</f>
        <v>22666666</v>
      </c>
      <c r="J687" s="11">
        <f>SUM(J656:J686)</f>
        <v>22988833</v>
      </c>
      <c r="K687" s="11">
        <f>SUM(K656:K686)</f>
        <v>22995822</v>
      </c>
    </row>
    <row r="688" spans="1:11" ht="15.75">
      <c r="A688" s="12"/>
      <c r="B688" s="2"/>
      <c r="C688" s="2"/>
      <c r="D688" s="2"/>
      <c r="E688" s="13">
        <f t="shared" ref="E688:K688" si="52">SUM(E687/11575)</f>
        <v>9.3604319654427641</v>
      </c>
      <c r="F688" s="13">
        <f t="shared" si="52"/>
        <v>5.0626349892008635</v>
      </c>
      <c r="G688" s="13">
        <f t="shared" si="52"/>
        <v>13.38401727861771</v>
      </c>
      <c r="H688" s="13">
        <f t="shared" si="52"/>
        <v>26.960431965442766</v>
      </c>
      <c r="I688" s="13">
        <f t="shared" si="52"/>
        <v>1958.2432829373649</v>
      </c>
      <c r="J688" s="13">
        <f t="shared" si="52"/>
        <v>1986.0762850971921</v>
      </c>
      <c r="K688" s="13">
        <f t="shared" si="52"/>
        <v>1986.6800863930885</v>
      </c>
    </row>
    <row r="689" spans="1:11" ht="15.75">
      <c r="A689" s="1" t="s">
        <v>39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47.25">
      <c r="A690" s="2" t="s">
        <v>1</v>
      </c>
      <c r="B690" s="2" t="s">
        <v>2</v>
      </c>
      <c r="C690" s="3" t="s">
        <v>18</v>
      </c>
      <c r="D690" s="3" t="s">
        <v>4</v>
      </c>
      <c r="E690" s="3" t="s">
        <v>5</v>
      </c>
      <c r="F690" s="3" t="s">
        <v>6</v>
      </c>
      <c r="G690" s="3" t="s">
        <v>7</v>
      </c>
      <c r="H690" s="3" t="s">
        <v>8</v>
      </c>
      <c r="I690" s="3" t="s">
        <v>9</v>
      </c>
      <c r="J690" s="3" t="s">
        <v>19</v>
      </c>
      <c r="K690" s="4" t="s">
        <v>11</v>
      </c>
    </row>
    <row r="691" spans="1:11" ht="15.75">
      <c r="A691" s="5">
        <v>44805</v>
      </c>
      <c r="B691" s="6" t="s">
        <v>12</v>
      </c>
      <c r="C691" s="7">
        <v>13.81</v>
      </c>
      <c r="D691" s="7">
        <v>10.3</v>
      </c>
      <c r="E691" s="8">
        <v>4500</v>
      </c>
      <c r="F691" s="8">
        <v>2200</v>
      </c>
      <c r="G691" s="8">
        <v>6500</v>
      </c>
      <c r="H691" s="14">
        <f t="shared" ref="H691:H720" si="53">E691+F691+G691</f>
        <v>13200</v>
      </c>
      <c r="I691" s="9">
        <v>156045</v>
      </c>
      <c r="J691" s="9">
        <v>169245</v>
      </c>
      <c r="K691" s="10">
        <v>167856</v>
      </c>
    </row>
    <row r="692" spans="1:11" ht="15.75">
      <c r="A692" s="5">
        <v>44806</v>
      </c>
      <c r="B692" s="6" t="s">
        <v>12</v>
      </c>
      <c r="C692" s="7">
        <v>13.99</v>
      </c>
      <c r="D692" s="7">
        <v>10.9</v>
      </c>
      <c r="E692" s="8">
        <v>4800</v>
      </c>
      <c r="F692" s="6">
        <v>2200</v>
      </c>
      <c r="G692" s="8">
        <v>6500</v>
      </c>
      <c r="H692" s="14">
        <f t="shared" si="53"/>
        <v>13500</v>
      </c>
      <c r="I692" s="9">
        <v>212293</v>
      </c>
      <c r="J692" s="9">
        <v>225793</v>
      </c>
      <c r="K692" s="10">
        <v>227182</v>
      </c>
    </row>
    <row r="693" spans="1:11" ht="15.75">
      <c r="A693" s="5">
        <v>44807</v>
      </c>
      <c r="B693" s="6" t="s">
        <v>12</v>
      </c>
      <c r="C693" s="7">
        <v>13.9</v>
      </c>
      <c r="D693" s="7">
        <v>10.6</v>
      </c>
      <c r="E693" s="8">
        <v>4800</v>
      </c>
      <c r="F693" s="6">
        <v>2200</v>
      </c>
      <c r="G693" s="8">
        <v>4500</v>
      </c>
      <c r="H693" s="14">
        <f t="shared" si="53"/>
        <v>11500</v>
      </c>
      <c r="I693" s="9">
        <v>208566</v>
      </c>
      <c r="J693" s="9">
        <v>220066</v>
      </c>
      <c r="K693" s="10">
        <v>219371</v>
      </c>
    </row>
    <row r="694" spans="1:11" ht="15.75">
      <c r="A694" s="5">
        <v>44808</v>
      </c>
      <c r="B694" s="6" t="s">
        <v>12</v>
      </c>
      <c r="C694" s="7">
        <v>13.69</v>
      </c>
      <c r="D694" s="7">
        <v>9.9</v>
      </c>
      <c r="E694" s="8">
        <v>4800</v>
      </c>
      <c r="F694" s="6">
        <v>2200</v>
      </c>
      <c r="G694" s="8">
        <v>4500</v>
      </c>
      <c r="H694" s="14">
        <f t="shared" si="53"/>
        <v>11500</v>
      </c>
      <c r="I694" s="9">
        <v>220267</v>
      </c>
      <c r="J694" s="9">
        <v>231767</v>
      </c>
      <c r="K694" s="10">
        <v>230146</v>
      </c>
    </row>
    <row r="695" spans="1:11" ht="15.75">
      <c r="A695" s="5">
        <v>44809</v>
      </c>
      <c r="B695" s="6" t="s">
        <v>12</v>
      </c>
      <c r="C695" s="7">
        <v>13.6</v>
      </c>
      <c r="D695" s="7">
        <v>9.6</v>
      </c>
      <c r="E695" s="8">
        <v>4400</v>
      </c>
      <c r="F695" s="6">
        <v>2400</v>
      </c>
      <c r="G695" s="8">
        <v>6500</v>
      </c>
      <c r="H695" s="14">
        <f t="shared" si="53"/>
        <v>13300</v>
      </c>
      <c r="I695" s="9">
        <v>150477</v>
      </c>
      <c r="J695" s="9">
        <v>163777</v>
      </c>
      <c r="K695" s="9">
        <v>163082</v>
      </c>
    </row>
    <row r="696" spans="1:11" ht="15.75">
      <c r="A696" s="5">
        <v>44810</v>
      </c>
      <c r="B696" s="6" t="s">
        <v>12</v>
      </c>
      <c r="C696" s="7">
        <v>13.93</v>
      </c>
      <c r="D696" s="7">
        <v>10.7</v>
      </c>
      <c r="E696" s="8">
        <v>4400</v>
      </c>
      <c r="F696" s="6">
        <v>2400</v>
      </c>
      <c r="G696" s="8">
        <v>7000</v>
      </c>
      <c r="H696" s="14">
        <f t="shared" si="53"/>
        <v>13800</v>
      </c>
      <c r="I696" s="9">
        <v>159336</v>
      </c>
      <c r="J696" s="9">
        <v>173136</v>
      </c>
      <c r="K696" s="10">
        <v>173445</v>
      </c>
    </row>
    <row r="697" spans="1:11" ht="15.75">
      <c r="A697" s="5">
        <v>44811</v>
      </c>
      <c r="B697" s="6" t="s">
        <v>12</v>
      </c>
      <c r="C697" s="7">
        <v>13.98</v>
      </c>
      <c r="D697" s="7">
        <v>10.85</v>
      </c>
      <c r="E697" s="8">
        <v>4400</v>
      </c>
      <c r="F697" s="6">
        <v>2400</v>
      </c>
      <c r="G697" s="8">
        <v>7000</v>
      </c>
      <c r="H697" s="14">
        <f t="shared" si="53"/>
        <v>13800</v>
      </c>
      <c r="I697" s="9">
        <v>172406</v>
      </c>
      <c r="J697" s="9">
        <v>186206</v>
      </c>
      <c r="K697" s="10">
        <v>186515</v>
      </c>
    </row>
    <row r="698" spans="1:11" ht="15.75">
      <c r="A698" s="5">
        <v>44812</v>
      </c>
      <c r="B698" s="6" t="s">
        <v>12</v>
      </c>
      <c r="C698" s="7">
        <v>13.99</v>
      </c>
      <c r="D698" s="7">
        <v>10.9</v>
      </c>
      <c r="E698" s="8">
        <v>3600</v>
      </c>
      <c r="F698" s="6">
        <v>1800</v>
      </c>
      <c r="G698" s="8">
        <v>7000</v>
      </c>
      <c r="H698" s="14">
        <f t="shared" si="53"/>
        <v>12400</v>
      </c>
      <c r="I698" s="9">
        <v>247496</v>
      </c>
      <c r="J698" s="9">
        <v>259896</v>
      </c>
      <c r="K698" s="10">
        <v>260050</v>
      </c>
    </row>
    <row r="699" spans="1:11" ht="15.75">
      <c r="A699" s="5">
        <v>44813</v>
      </c>
      <c r="B699" s="6" t="s">
        <v>12</v>
      </c>
      <c r="C699" s="7">
        <v>13.72</v>
      </c>
      <c r="D699" s="7">
        <v>10</v>
      </c>
      <c r="E699" s="8">
        <v>1800</v>
      </c>
      <c r="F699" s="6">
        <v>1800</v>
      </c>
      <c r="G699" s="8">
        <v>5000</v>
      </c>
      <c r="H699" s="14">
        <f t="shared" si="53"/>
        <v>8600</v>
      </c>
      <c r="I699" s="9">
        <v>293593</v>
      </c>
      <c r="J699" s="9">
        <v>302193</v>
      </c>
      <c r="K699" s="10">
        <v>300109</v>
      </c>
    </row>
    <row r="700" spans="1:11" ht="15.75">
      <c r="A700" s="5">
        <v>44814</v>
      </c>
      <c r="B700" s="6" t="s">
        <v>12</v>
      </c>
      <c r="C700" s="7">
        <v>13.99</v>
      </c>
      <c r="D700" s="7">
        <v>10.9</v>
      </c>
      <c r="E700" s="8">
        <v>800</v>
      </c>
      <c r="F700" s="6">
        <v>1300</v>
      </c>
      <c r="G700" s="8">
        <v>3000</v>
      </c>
      <c r="H700" s="14">
        <f t="shared" si="53"/>
        <v>5100</v>
      </c>
      <c r="I700" s="9">
        <v>331831</v>
      </c>
      <c r="J700" s="9">
        <v>336931</v>
      </c>
      <c r="K700" s="10">
        <v>339015</v>
      </c>
    </row>
    <row r="701" spans="1:11" ht="15.75">
      <c r="A701" s="5">
        <v>44815</v>
      </c>
      <c r="B701" s="6" t="s">
        <v>12</v>
      </c>
      <c r="C701" s="7">
        <v>13.28</v>
      </c>
      <c r="D701" s="7">
        <v>8.5500000000000007</v>
      </c>
      <c r="E701" s="8">
        <v>800</v>
      </c>
      <c r="F701" s="6">
        <v>800</v>
      </c>
      <c r="G701" s="8">
        <v>1000</v>
      </c>
      <c r="H701" s="14">
        <f t="shared" si="53"/>
        <v>2600</v>
      </c>
      <c r="I701" s="9">
        <v>337703</v>
      </c>
      <c r="J701" s="9">
        <v>340303</v>
      </c>
      <c r="K701" s="10">
        <v>334833</v>
      </c>
    </row>
    <row r="702" spans="1:11" ht="15.75">
      <c r="A702" s="5">
        <v>44816</v>
      </c>
      <c r="B702" s="6" t="s">
        <v>12</v>
      </c>
      <c r="C702" s="7">
        <v>13.44</v>
      </c>
      <c r="D702" s="7">
        <v>9.1</v>
      </c>
      <c r="E702" s="8">
        <v>800</v>
      </c>
      <c r="F702" s="8">
        <v>800</v>
      </c>
      <c r="G702" s="6">
        <v>1000</v>
      </c>
      <c r="H702" s="14">
        <f t="shared" si="53"/>
        <v>2600</v>
      </c>
      <c r="I702" s="9">
        <v>502821</v>
      </c>
      <c r="J702" s="9">
        <v>505421</v>
      </c>
      <c r="K702" s="10">
        <v>506648</v>
      </c>
    </row>
    <row r="703" spans="1:11" ht="15.75">
      <c r="A703" s="5">
        <v>44817</v>
      </c>
      <c r="B703" s="6" t="s">
        <v>12</v>
      </c>
      <c r="C703" s="7">
        <v>14.11</v>
      </c>
      <c r="D703" s="7">
        <v>11.3</v>
      </c>
      <c r="E703" s="8">
        <v>800</v>
      </c>
      <c r="F703" s="6">
        <v>800</v>
      </c>
      <c r="G703" s="8">
        <v>1000</v>
      </c>
      <c r="H703" s="14">
        <f t="shared" si="53"/>
        <v>2600</v>
      </c>
      <c r="I703" s="9">
        <v>924373</v>
      </c>
      <c r="J703" s="9">
        <v>926973</v>
      </c>
      <c r="K703" s="10">
        <v>931448</v>
      </c>
    </row>
    <row r="704" spans="1:11" ht="15.75">
      <c r="A704" s="5">
        <v>44818</v>
      </c>
      <c r="B704" s="6" t="s">
        <v>12</v>
      </c>
      <c r="C704" s="7">
        <v>14.85</v>
      </c>
      <c r="D704" s="7">
        <v>13.7</v>
      </c>
      <c r="E704" s="8">
        <v>1600</v>
      </c>
      <c r="F704" s="6">
        <v>1300</v>
      </c>
      <c r="G704" s="6">
        <v>5000</v>
      </c>
      <c r="H704" s="14">
        <f t="shared" si="53"/>
        <v>7900</v>
      </c>
      <c r="I704" s="9">
        <v>1274701</v>
      </c>
      <c r="J704" s="9">
        <v>1280601</v>
      </c>
      <c r="K704" s="10">
        <v>1280601</v>
      </c>
    </row>
    <row r="705" spans="1:11" ht="15.75">
      <c r="A705" s="5">
        <v>44819</v>
      </c>
      <c r="B705" s="6" t="s">
        <v>12</v>
      </c>
      <c r="C705" s="7">
        <v>15.06</v>
      </c>
      <c r="D705" s="7">
        <v>14.4</v>
      </c>
      <c r="E705" s="8">
        <v>2500</v>
      </c>
      <c r="F705" s="6">
        <v>1300</v>
      </c>
      <c r="G705" s="6">
        <v>5000</v>
      </c>
      <c r="H705" s="14">
        <f t="shared" si="53"/>
        <v>8800</v>
      </c>
      <c r="I705" s="9">
        <v>1369107</v>
      </c>
      <c r="J705" s="9">
        <v>1377907</v>
      </c>
      <c r="K705" s="10">
        <v>1377907</v>
      </c>
    </row>
    <row r="706" spans="1:11" ht="15.75">
      <c r="A706" s="5">
        <v>44820</v>
      </c>
      <c r="B706" s="6" t="s">
        <v>12</v>
      </c>
      <c r="C706" s="7">
        <v>14.63</v>
      </c>
      <c r="D706" s="7">
        <v>13</v>
      </c>
      <c r="E706" s="8">
        <v>2500</v>
      </c>
      <c r="F706" s="6">
        <v>1300</v>
      </c>
      <c r="G706" s="6">
        <v>5000</v>
      </c>
      <c r="H706" s="14">
        <f t="shared" si="53"/>
        <v>8800</v>
      </c>
      <c r="I706" s="9">
        <v>1163694</v>
      </c>
      <c r="J706" s="9">
        <v>1172494</v>
      </c>
      <c r="K706" s="10">
        <v>1172494</v>
      </c>
    </row>
    <row r="707" spans="1:11" ht="15.75">
      <c r="A707" s="5">
        <v>44821</v>
      </c>
      <c r="B707" s="6" t="s">
        <v>12</v>
      </c>
      <c r="C707" s="7">
        <v>13.99</v>
      </c>
      <c r="D707" s="7">
        <v>10.9</v>
      </c>
      <c r="E707" s="8">
        <v>3500</v>
      </c>
      <c r="F707" s="6">
        <v>1300</v>
      </c>
      <c r="G707" s="6">
        <v>5000</v>
      </c>
      <c r="H707" s="14">
        <f t="shared" si="53"/>
        <v>9800</v>
      </c>
      <c r="I707" s="9">
        <v>863987</v>
      </c>
      <c r="J707" s="9">
        <v>873787</v>
      </c>
      <c r="K707" s="10">
        <v>873555</v>
      </c>
    </row>
    <row r="708" spans="1:11" ht="15.75">
      <c r="A708" s="5">
        <v>44822</v>
      </c>
      <c r="B708" s="6" t="s">
        <v>12</v>
      </c>
      <c r="C708" s="7">
        <v>13.63</v>
      </c>
      <c r="D708" s="7">
        <v>9.6999999999999993</v>
      </c>
      <c r="E708" s="8">
        <v>2800</v>
      </c>
      <c r="F708" s="6">
        <v>1300</v>
      </c>
      <c r="G708" s="6">
        <v>5000</v>
      </c>
      <c r="H708" s="14">
        <f t="shared" si="53"/>
        <v>9100</v>
      </c>
      <c r="I708" s="9">
        <v>712870</v>
      </c>
      <c r="J708" s="9">
        <v>721970</v>
      </c>
      <c r="K708" s="10">
        <v>719192</v>
      </c>
    </row>
    <row r="709" spans="1:11" ht="15.75">
      <c r="A709" s="5">
        <v>44823</v>
      </c>
      <c r="B709" s="6" t="s">
        <v>12</v>
      </c>
      <c r="C709" s="7">
        <v>13.05</v>
      </c>
      <c r="D709" s="7">
        <v>7.8</v>
      </c>
      <c r="E709" s="8">
        <v>2800</v>
      </c>
      <c r="F709" s="6">
        <v>2000</v>
      </c>
      <c r="G709" s="6">
        <v>5300</v>
      </c>
      <c r="H709" s="14">
        <f t="shared" si="53"/>
        <v>10100</v>
      </c>
      <c r="I709" s="9">
        <v>487911</v>
      </c>
      <c r="J709" s="9">
        <v>498011</v>
      </c>
      <c r="K709" s="10">
        <v>493572</v>
      </c>
    </row>
    <row r="710" spans="1:11" ht="15.75">
      <c r="A710" s="5">
        <v>44824</v>
      </c>
      <c r="B710" s="6" t="s">
        <v>12</v>
      </c>
      <c r="C710" s="7">
        <v>13.05</v>
      </c>
      <c r="D710" s="7">
        <v>7.8</v>
      </c>
      <c r="E710" s="8">
        <v>3500</v>
      </c>
      <c r="F710" s="6">
        <v>2000</v>
      </c>
      <c r="G710" s="6">
        <v>4620</v>
      </c>
      <c r="H710" s="14">
        <f t="shared" si="53"/>
        <v>10120</v>
      </c>
      <c r="I710" s="9">
        <v>345685</v>
      </c>
      <c r="J710" s="9">
        <v>355805</v>
      </c>
      <c r="K710" s="10">
        <v>355805</v>
      </c>
    </row>
    <row r="711" spans="1:11" ht="15.75">
      <c r="A711" s="5">
        <v>44825</v>
      </c>
      <c r="B711" s="6" t="s">
        <v>12</v>
      </c>
      <c r="C711" s="7">
        <v>13.87</v>
      </c>
      <c r="D711" s="7">
        <v>10.5</v>
      </c>
      <c r="E711" s="8">
        <v>3900</v>
      </c>
      <c r="F711" s="6">
        <v>2000</v>
      </c>
      <c r="G711" s="6">
        <v>6500</v>
      </c>
      <c r="H711" s="14">
        <f t="shared" si="53"/>
        <v>12400</v>
      </c>
      <c r="I711" s="9">
        <v>477792</v>
      </c>
      <c r="J711" s="9">
        <v>490192</v>
      </c>
      <c r="K711" s="10">
        <v>496483</v>
      </c>
    </row>
    <row r="712" spans="1:11" ht="15.75">
      <c r="A712" s="5">
        <v>44826</v>
      </c>
      <c r="B712" s="6" t="s">
        <v>12</v>
      </c>
      <c r="C712" s="7">
        <v>13.57</v>
      </c>
      <c r="D712" s="7">
        <v>9.5</v>
      </c>
      <c r="E712" s="8">
        <v>4200</v>
      </c>
      <c r="F712" s="6">
        <v>2000</v>
      </c>
      <c r="G712" s="6">
        <v>6500</v>
      </c>
      <c r="H712" s="14">
        <f t="shared" si="53"/>
        <v>12700</v>
      </c>
      <c r="I712" s="14">
        <v>458360</v>
      </c>
      <c r="J712" s="9">
        <v>471060</v>
      </c>
      <c r="K712" s="10">
        <v>468745</v>
      </c>
    </row>
    <row r="713" spans="1:11" ht="15.75">
      <c r="A713" s="5">
        <v>44827</v>
      </c>
      <c r="B713" s="6" t="s">
        <v>12</v>
      </c>
      <c r="C713" s="7">
        <v>13.75</v>
      </c>
      <c r="D713" s="7">
        <v>10.1</v>
      </c>
      <c r="E713" s="8">
        <v>4200</v>
      </c>
      <c r="F713" s="6">
        <v>2000</v>
      </c>
      <c r="G713" s="6">
        <v>6500</v>
      </c>
      <c r="H713" s="14">
        <f t="shared" si="53"/>
        <v>12700</v>
      </c>
      <c r="I713" s="9">
        <v>517335</v>
      </c>
      <c r="J713" s="9">
        <v>530035</v>
      </c>
      <c r="K713" s="10">
        <v>531424</v>
      </c>
    </row>
    <row r="714" spans="1:11" ht="15.75">
      <c r="A714" s="5">
        <v>44828</v>
      </c>
      <c r="B714" s="6" t="s">
        <v>12</v>
      </c>
      <c r="C714" s="7">
        <v>13.63</v>
      </c>
      <c r="D714" s="7">
        <v>9.6999999999999993</v>
      </c>
      <c r="E714" s="8">
        <v>4200</v>
      </c>
      <c r="F714" s="6">
        <v>2000</v>
      </c>
      <c r="G714" s="6">
        <v>6500</v>
      </c>
      <c r="H714" s="14">
        <f t="shared" si="53"/>
        <v>12700</v>
      </c>
      <c r="I714" s="9">
        <v>515374</v>
      </c>
      <c r="J714" s="9">
        <v>528074</v>
      </c>
      <c r="K714" s="10">
        <v>527148</v>
      </c>
    </row>
    <row r="715" spans="1:11" ht="15.75">
      <c r="A715" s="5">
        <v>44829</v>
      </c>
      <c r="B715" s="6" t="s">
        <v>12</v>
      </c>
      <c r="C715" s="7">
        <v>13.23</v>
      </c>
      <c r="D715" s="7">
        <v>8.4</v>
      </c>
      <c r="E715" s="8">
        <v>4200</v>
      </c>
      <c r="F715" s="6">
        <v>2000</v>
      </c>
      <c r="G715" s="6">
        <v>6500</v>
      </c>
      <c r="H715" s="14">
        <f t="shared" si="53"/>
        <v>12700</v>
      </c>
      <c r="I715" s="9">
        <v>271379</v>
      </c>
      <c r="J715" s="9">
        <v>284079</v>
      </c>
      <c r="K715" s="10">
        <v>281007</v>
      </c>
    </row>
    <row r="716" spans="1:11" ht="15.75">
      <c r="A716" s="5">
        <v>44830</v>
      </c>
      <c r="B716" s="6" t="s">
        <v>12</v>
      </c>
      <c r="C716" s="7">
        <v>13.35</v>
      </c>
      <c r="D716" s="7">
        <v>8.8000000000000007</v>
      </c>
      <c r="E716" s="8">
        <v>4200</v>
      </c>
      <c r="F716" s="6">
        <v>2000</v>
      </c>
      <c r="G716" s="6">
        <v>6500</v>
      </c>
      <c r="H716" s="14">
        <f t="shared" si="53"/>
        <v>12700</v>
      </c>
      <c r="I716" s="9">
        <v>406503</v>
      </c>
      <c r="J716" s="9">
        <v>419203</v>
      </c>
      <c r="K716" s="10">
        <v>420114</v>
      </c>
    </row>
    <row r="717" spans="1:11" ht="15.75">
      <c r="A717" s="5">
        <v>44831</v>
      </c>
      <c r="B717" s="6" t="s">
        <v>12</v>
      </c>
      <c r="C717" s="7">
        <v>13.5</v>
      </c>
      <c r="D717" s="7">
        <v>9.3000000000000007</v>
      </c>
      <c r="E717" s="8">
        <v>4500</v>
      </c>
      <c r="F717" s="6">
        <v>2000</v>
      </c>
      <c r="G717" s="6">
        <v>6500</v>
      </c>
      <c r="H717" s="14">
        <f t="shared" si="53"/>
        <v>13000</v>
      </c>
      <c r="I717" s="9">
        <v>369207</v>
      </c>
      <c r="J717" s="9">
        <v>382207</v>
      </c>
      <c r="K717" s="9">
        <v>383366</v>
      </c>
    </row>
    <row r="718" spans="1:11" ht="15.75">
      <c r="A718" s="5">
        <v>44832</v>
      </c>
      <c r="B718" s="6" t="s">
        <v>12</v>
      </c>
      <c r="C718" s="7">
        <v>13.63</v>
      </c>
      <c r="D718" s="7">
        <v>9.6999999999999993</v>
      </c>
      <c r="E718" s="8">
        <v>4500</v>
      </c>
      <c r="F718" s="6">
        <v>2000</v>
      </c>
      <c r="G718" s="6">
        <v>6500</v>
      </c>
      <c r="H718" s="14">
        <f t="shared" si="53"/>
        <v>13000</v>
      </c>
      <c r="I718" s="9">
        <v>350889</v>
      </c>
      <c r="J718" s="9">
        <v>363889</v>
      </c>
      <c r="K718" s="9">
        <v>364891</v>
      </c>
    </row>
    <row r="719" spans="1:11" ht="15.75">
      <c r="A719" s="5">
        <v>44833</v>
      </c>
      <c r="B719" s="6" t="s">
        <v>12</v>
      </c>
      <c r="C719" s="7">
        <v>13.5</v>
      </c>
      <c r="D719" s="7">
        <v>9.3000000000000007</v>
      </c>
      <c r="E719" s="8">
        <v>4500</v>
      </c>
      <c r="F719" s="6">
        <v>2000</v>
      </c>
      <c r="G719" s="6">
        <v>6500</v>
      </c>
      <c r="H719" s="14">
        <f t="shared" si="53"/>
        <v>13000</v>
      </c>
      <c r="I719" s="9">
        <v>292638</v>
      </c>
      <c r="J719" s="9">
        <v>305638</v>
      </c>
      <c r="K719" s="9">
        <v>304636</v>
      </c>
    </row>
    <row r="720" spans="1:11" ht="15.75">
      <c r="A720" s="5">
        <v>44834</v>
      </c>
      <c r="B720" s="6" t="s">
        <v>12</v>
      </c>
      <c r="C720" s="7">
        <v>13.34</v>
      </c>
      <c r="D720" s="7">
        <v>8.75</v>
      </c>
      <c r="E720" s="8">
        <v>4500</v>
      </c>
      <c r="F720" s="6">
        <v>2000</v>
      </c>
      <c r="G720" s="6">
        <v>6500</v>
      </c>
      <c r="H720" s="14">
        <f t="shared" si="53"/>
        <v>13000</v>
      </c>
      <c r="I720" s="9">
        <v>306189</v>
      </c>
      <c r="J720" s="9">
        <v>319189</v>
      </c>
      <c r="K720" s="9">
        <v>317954</v>
      </c>
    </row>
    <row r="721" spans="1:11" ht="15.75">
      <c r="A721" s="2" t="s">
        <v>13</v>
      </c>
      <c r="B721" s="2"/>
      <c r="C721" s="2"/>
      <c r="D721" s="2"/>
      <c r="E721" s="11">
        <f>SUM(E691:E720)</f>
        <v>102800</v>
      </c>
      <c r="F721" s="11">
        <f>SUM(F691:F720)</f>
        <v>53800</v>
      </c>
      <c r="G721" s="11">
        <f>SUM(G691:G720)</f>
        <v>160420</v>
      </c>
      <c r="H721" s="11">
        <f>SUM(H692:H720)</f>
        <v>303820</v>
      </c>
      <c r="I721" s="11">
        <f>SUM(I691:I720)</f>
        <v>14100828</v>
      </c>
      <c r="J721" s="11">
        <f>SUM(J691:J720)</f>
        <v>14415848</v>
      </c>
      <c r="K721" s="11">
        <f>SUM(K691:K720)</f>
        <v>14408594</v>
      </c>
    </row>
    <row r="722" spans="1:11" ht="15.75">
      <c r="A722" s="12"/>
      <c r="B722" s="2"/>
      <c r="C722" s="2"/>
      <c r="D722" s="2"/>
      <c r="E722" s="13">
        <f t="shared" ref="E722:K722" si="54">SUM(E721/11575)</f>
        <v>8.8812095032397416</v>
      </c>
      <c r="F722" s="13">
        <f t="shared" si="54"/>
        <v>4.6479481641468681</v>
      </c>
      <c r="G722" s="13">
        <f t="shared" si="54"/>
        <v>13.859179265658748</v>
      </c>
      <c r="H722" s="13">
        <f t="shared" si="54"/>
        <v>26.247948164146869</v>
      </c>
      <c r="I722" s="13">
        <f t="shared" si="54"/>
        <v>1218.2140820734342</v>
      </c>
      <c r="J722" s="13">
        <f t="shared" si="54"/>
        <v>1245.4296328293738</v>
      </c>
      <c r="K722" s="13">
        <f t="shared" si="54"/>
        <v>1244.8029373650108</v>
      </c>
    </row>
    <row r="723" spans="1:11" ht="15.75">
      <c r="A723" s="1" t="s">
        <v>40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47.25">
      <c r="A724" s="2" t="s">
        <v>1</v>
      </c>
      <c r="B724" s="2" t="s">
        <v>2</v>
      </c>
      <c r="C724" s="3" t="s">
        <v>18</v>
      </c>
      <c r="D724" s="3" t="s">
        <v>4</v>
      </c>
      <c r="E724" s="3" t="s">
        <v>5</v>
      </c>
      <c r="F724" s="3" t="s">
        <v>6</v>
      </c>
      <c r="G724" s="3" t="s">
        <v>7</v>
      </c>
      <c r="H724" s="3" t="s">
        <v>8</v>
      </c>
      <c r="I724" s="3" t="s">
        <v>9</v>
      </c>
      <c r="J724" s="3" t="s">
        <v>19</v>
      </c>
      <c r="K724" s="4" t="s">
        <v>11</v>
      </c>
    </row>
    <row r="725" spans="1:11" ht="15.75">
      <c r="A725" s="5">
        <v>44835</v>
      </c>
      <c r="B725" s="6" t="s">
        <v>12</v>
      </c>
      <c r="C725" s="7">
        <v>13.44</v>
      </c>
      <c r="D725" s="7">
        <v>9.1</v>
      </c>
      <c r="E725" s="8">
        <v>3800</v>
      </c>
      <c r="F725" s="8">
        <v>2000</v>
      </c>
      <c r="G725" s="8">
        <v>3000</v>
      </c>
      <c r="H725" s="14">
        <f t="shared" ref="H725:H755" si="55">E725+F725+G725</f>
        <v>8800</v>
      </c>
      <c r="I725" s="9">
        <v>315733</v>
      </c>
      <c r="J725" s="9">
        <v>324533</v>
      </c>
      <c r="K725" s="10">
        <v>325305</v>
      </c>
    </row>
    <row r="726" spans="1:11" ht="15.75">
      <c r="A726" s="5">
        <v>44836</v>
      </c>
      <c r="B726" s="6" t="s">
        <v>12</v>
      </c>
      <c r="C726" s="7">
        <v>13.69</v>
      </c>
      <c r="D726" s="7">
        <v>9.9</v>
      </c>
      <c r="E726" s="8">
        <v>2700</v>
      </c>
      <c r="F726" s="6">
        <v>2000</v>
      </c>
      <c r="G726" s="8">
        <v>3000</v>
      </c>
      <c r="H726" s="14">
        <f t="shared" si="55"/>
        <v>7700</v>
      </c>
      <c r="I726" s="9">
        <v>299525</v>
      </c>
      <c r="J726" s="9">
        <v>307225</v>
      </c>
      <c r="K726" s="10">
        <v>309153</v>
      </c>
    </row>
    <row r="727" spans="1:11" ht="15.75">
      <c r="A727" s="5">
        <v>44837</v>
      </c>
      <c r="B727" s="6" t="s">
        <v>12</v>
      </c>
      <c r="C727" s="7">
        <v>13.53</v>
      </c>
      <c r="D727" s="7">
        <v>9.4</v>
      </c>
      <c r="E727" s="8">
        <v>2700</v>
      </c>
      <c r="F727" s="6">
        <v>2000</v>
      </c>
      <c r="G727" s="8">
        <v>3000</v>
      </c>
      <c r="H727" s="14">
        <f t="shared" si="55"/>
        <v>7700</v>
      </c>
      <c r="I727" s="9">
        <v>266194</v>
      </c>
      <c r="J727" s="9">
        <v>273894</v>
      </c>
      <c r="K727" s="10">
        <v>272660</v>
      </c>
    </row>
    <row r="728" spans="1:11" ht="15.75">
      <c r="A728" s="5">
        <v>44838</v>
      </c>
      <c r="B728" s="6" t="s">
        <v>12</v>
      </c>
      <c r="C728" s="7">
        <v>13.75</v>
      </c>
      <c r="D728" s="7">
        <v>10.1</v>
      </c>
      <c r="E728" s="8">
        <v>2700</v>
      </c>
      <c r="F728" s="6">
        <v>2000</v>
      </c>
      <c r="G728" s="8">
        <v>5000</v>
      </c>
      <c r="H728" s="14">
        <f t="shared" si="55"/>
        <v>9700</v>
      </c>
      <c r="I728" s="9">
        <v>249684</v>
      </c>
      <c r="J728" s="9">
        <v>259384</v>
      </c>
      <c r="K728" s="10">
        <v>261581</v>
      </c>
    </row>
    <row r="729" spans="1:11" ht="15.75">
      <c r="A729" s="5">
        <v>44839</v>
      </c>
      <c r="B729" s="6" t="s">
        <v>12</v>
      </c>
      <c r="C729" s="7">
        <v>13.69</v>
      </c>
      <c r="D729" s="7">
        <v>9.9</v>
      </c>
      <c r="E729" s="8">
        <v>2700</v>
      </c>
      <c r="F729" s="6">
        <v>2000</v>
      </c>
      <c r="G729" s="8">
        <v>5000</v>
      </c>
      <c r="H729" s="14">
        <f t="shared" si="55"/>
        <v>9700</v>
      </c>
      <c r="I729" s="9">
        <v>185332</v>
      </c>
      <c r="J729" s="9">
        <v>195032</v>
      </c>
      <c r="K729" s="9">
        <v>194569</v>
      </c>
    </row>
    <row r="730" spans="1:11" ht="15.75">
      <c r="A730" s="5">
        <v>44840</v>
      </c>
      <c r="B730" s="6" t="s">
        <v>12</v>
      </c>
      <c r="C730" s="7">
        <v>13.85</v>
      </c>
      <c r="D730" s="7">
        <v>10.45</v>
      </c>
      <c r="E730" s="8">
        <v>3200</v>
      </c>
      <c r="F730" s="6">
        <v>1800</v>
      </c>
      <c r="G730" s="8">
        <v>6500</v>
      </c>
      <c r="H730" s="14">
        <f t="shared" si="55"/>
        <v>11500</v>
      </c>
      <c r="I730" s="9">
        <v>192107</v>
      </c>
      <c r="J730" s="9">
        <v>203607</v>
      </c>
      <c r="K730" s="10">
        <v>204842</v>
      </c>
    </row>
    <row r="731" spans="1:11" ht="15.75">
      <c r="A731" s="5">
        <v>44841</v>
      </c>
      <c r="B731" s="6" t="s">
        <v>12</v>
      </c>
      <c r="C731" s="7">
        <v>13.78</v>
      </c>
      <c r="D731" s="7">
        <v>10.199999999999999</v>
      </c>
      <c r="E731" s="8">
        <v>2500</v>
      </c>
      <c r="F731" s="6">
        <v>1600</v>
      </c>
      <c r="G731" s="8">
        <v>4500</v>
      </c>
      <c r="H731" s="14">
        <f t="shared" si="55"/>
        <v>8600</v>
      </c>
      <c r="I731" s="9">
        <v>206903</v>
      </c>
      <c r="J731" s="9">
        <v>215503</v>
      </c>
      <c r="K731" s="10">
        <v>214962</v>
      </c>
    </row>
    <row r="732" spans="1:11" ht="15.75">
      <c r="A732" s="5">
        <v>44842</v>
      </c>
      <c r="B732" s="6" t="s">
        <v>12</v>
      </c>
      <c r="C732" s="7">
        <v>13.69</v>
      </c>
      <c r="D732" s="7">
        <v>9.9</v>
      </c>
      <c r="E732" s="8">
        <v>2500</v>
      </c>
      <c r="F732" s="6">
        <v>1600</v>
      </c>
      <c r="G732" s="8">
        <v>4500</v>
      </c>
      <c r="H732" s="14">
        <f t="shared" si="55"/>
        <v>8600</v>
      </c>
      <c r="I732" s="9">
        <v>186987</v>
      </c>
      <c r="J732" s="9">
        <v>195587</v>
      </c>
      <c r="K732" s="10">
        <v>194892</v>
      </c>
    </row>
    <row r="733" spans="1:11" ht="15.75">
      <c r="A733" s="5">
        <v>44843</v>
      </c>
      <c r="B733" s="6" t="s">
        <v>12</v>
      </c>
      <c r="C733" s="7">
        <v>13.72</v>
      </c>
      <c r="D733" s="7">
        <v>10</v>
      </c>
      <c r="E733" s="8">
        <v>2500</v>
      </c>
      <c r="F733" s="6">
        <v>1600</v>
      </c>
      <c r="G733" s="8">
        <v>4500</v>
      </c>
      <c r="H733" s="14">
        <f t="shared" si="55"/>
        <v>8600</v>
      </c>
      <c r="I733" s="9">
        <v>153690</v>
      </c>
      <c r="J733" s="9">
        <v>162290</v>
      </c>
      <c r="K733" s="10">
        <v>162522</v>
      </c>
    </row>
    <row r="734" spans="1:11" ht="15.75">
      <c r="A734" s="5">
        <v>44844</v>
      </c>
      <c r="B734" s="6" t="s">
        <v>12</v>
      </c>
      <c r="C734" s="7">
        <v>13.95</v>
      </c>
      <c r="D734" s="7">
        <v>10.75</v>
      </c>
      <c r="E734" s="8">
        <v>2500</v>
      </c>
      <c r="F734" s="6">
        <v>1600</v>
      </c>
      <c r="G734" s="8">
        <v>4500</v>
      </c>
      <c r="H734" s="14">
        <f t="shared" si="55"/>
        <v>8600</v>
      </c>
      <c r="I734" s="9">
        <v>153826</v>
      </c>
      <c r="J734" s="9">
        <v>162426</v>
      </c>
      <c r="K734" s="10">
        <v>164124</v>
      </c>
    </row>
    <row r="735" spans="1:11" ht="15.75">
      <c r="A735" s="5">
        <v>44845</v>
      </c>
      <c r="B735" s="6" t="s">
        <v>12</v>
      </c>
      <c r="C735" s="7">
        <v>13.87</v>
      </c>
      <c r="D735" s="7">
        <v>10.5</v>
      </c>
      <c r="E735" s="8">
        <v>1800</v>
      </c>
      <c r="F735" s="6">
        <v>1200</v>
      </c>
      <c r="G735" s="8">
        <v>3500</v>
      </c>
      <c r="H735" s="14">
        <f t="shared" si="55"/>
        <v>6500</v>
      </c>
      <c r="I735" s="9">
        <v>174384</v>
      </c>
      <c r="J735" s="9">
        <v>180884</v>
      </c>
      <c r="K735" s="10">
        <v>180343</v>
      </c>
    </row>
    <row r="736" spans="1:11" ht="15.75">
      <c r="A736" s="5">
        <v>44846</v>
      </c>
      <c r="B736" s="6" t="s">
        <v>12</v>
      </c>
      <c r="C736" s="7">
        <v>13.76</v>
      </c>
      <c r="D736" s="7">
        <v>10.15</v>
      </c>
      <c r="E736" s="8">
        <v>1000</v>
      </c>
      <c r="F736" s="8">
        <v>900</v>
      </c>
      <c r="G736" s="6">
        <v>3500</v>
      </c>
      <c r="H736" s="14">
        <f t="shared" si="55"/>
        <v>5400</v>
      </c>
      <c r="I736" s="9">
        <v>203346</v>
      </c>
      <c r="J736" s="9">
        <v>208746</v>
      </c>
      <c r="K736" s="10">
        <v>207898</v>
      </c>
    </row>
    <row r="737" spans="1:11" ht="15.75">
      <c r="A737" s="5">
        <v>44847</v>
      </c>
      <c r="B737" s="6" t="s">
        <v>12</v>
      </c>
      <c r="C737" s="7">
        <v>13.57</v>
      </c>
      <c r="D737" s="7">
        <v>9.5</v>
      </c>
      <c r="E737" s="8">
        <v>1000</v>
      </c>
      <c r="F737" s="6">
        <v>900</v>
      </c>
      <c r="G737" s="8">
        <v>3500</v>
      </c>
      <c r="H737" s="14">
        <f t="shared" si="55"/>
        <v>5400</v>
      </c>
      <c r="I737" s="9">
        <v>195598</v>
      </c>
      <c r="J737" s="9">
        <v>200998</v>
      </c>
      <c r="K737" s="10">
        <v>199531</v>
      </c>
    </row>
    <row r="738" spans="1:11" ht="15.75">
      <c r="A738" s="5">
        <v>44848</v>
      </c>
      <c r="B738" s="6" t="s">
        <v>12</v>
      </c>
      <c r="C738" s="7">
        <v>13.85</v>
      </c>
      <c r="D738" s="7">
        <v>10.45</v>
      </c>
      <c r="E738" s="8">
        <v>1000</v>
      </c>
      <c r="F738" s="6">
        <v>900</v>
      </c>
      <c r="G738" s="6">
        <v>3500</v>
      </c>
      <c r="H738" s="14">
        <f t="shared" si="55"/>
        <v>5400</v>
      </c>
      <c r="I738" s="9">
        <v>179407</v>
      </c>
      <c r="J738" s="9">
        <v>184807</v>
      </c>
      <c r="K738" s="10">
        <v>186968</v>
      </c>
    </row>
    <row r="739" spans="1:11" ht="15.75">
      <c r="A739" s="5">
        <v>44849</v>
      </c>
      <c r="B739" s="6" t="s">
        <v>12</v>
      </c>
      <c r="C739" s="7">
        <v>13.87</v>
      </c>
      <c r="D739" s="7">
        <v>10.5</v>
      </c>
      <c r="E739" s="8">
        <v>1500</v>
      </c>
      <c r="F739" s="6">
        <v>900</v>
      </c>
      <c r="G739" s="6">
        <v>3500</v>
      </c>
      <c r="H739" s="14">
        <f t="shared" si="55"/>
        <v>5900</v>
      </c>
      <c r="I739" s="9">
        <v>157426</v>
      </c>
      <c r="J739" s="9">
        <v>163326</v>
      </c>
      <c r="K739" s="10">
        <v>163480</v>
      </c>
    </row>
    <row r="740" spans="1:11" ht="15.75">
      <c r="A740" s="5">
        <v>44850</v>
      </c>
      <c r="B740" s="6" t="s">
        <v>12</v>
      </c>
      <c r="C740" s="7">
        <v>13.5</v>
      </c>
      <c r="D740" s="7">
        <v>9.3000000000000007</v>
      </c>
      <c r="E740" s="8">
        <v>800</v>
      </c>
      <c r="F740" s="6">
        <v>900</v>
      </c>
      <c r="G740" s="6">
        <v>3500</v>
      </c>
      <c r="H740" s="14">
        <f t="shared" si="55"/>
        <v>5200</v>
      </c>
      <c r="I740" s="9">
        <v>214575</v>
      </c>
      <c r="J740" s="9">
        <v>219775</v>
      </c>
      <c r="K740" s="10">
        <v>216921</v>
      </c>
    </row>
    <row r="741" spans="1:11" ht="15.75">
      <c r="A741" s="5">
        <v>44851</v>
      </c>
      <c r="B741" s="6" t="s">
        <v>12</v>
      </c>
      <c r="C741" s="7">
        <v>13.6</v>
      </c>
      <c r="D741" s="7">
        <v>9.6</v>
      </c>
      <c r="E741" s="8">
        <v>800</v>
      </c>
      <c r="F741" s="6">
        <v>900</v>
      </c>
      <c r="G741" s="6">
        <v>2500</v>
      </c>
      <c r="H741" s="14">
        <f t="shared" si="55"/>
        <v>4200</v>
      </c>
      <c r="I741" s="9">
        <v>317442</v>
      </c>
      <c r="J741" s="9">
        <v>321642</v>
      </c>
      <c r="K741" s="10">
        <v>322413</v>
      </c>
    </row>
    <row r="742" spans="1:11" ht="15.75">
      <c r="A742" s="5">
        <v>44852</v>
      </c>
      <c r="B742" s="6" t="s">
        <v>12</v>
      </c>
      <c r="C742" s="7">
        <v>13.93</v>
      </c>
      <c r="D742" s="7">
        <v>10.7</v>
      </c>
      <c r="E742" s="8">
        <v>800</v>
      </c>
      <c r="F742" s="6">
        <v>900</v>
      </c>
      <c r="G742" s="6">
        <v>2500</v>
      </c>
      <c r="H742" s="14">
        <f t="shared" si="55"/>
        <v>4200</v>
      </c>
      <c r="I742" s="9">
        <v>291186</v>
      </c>
      <c r="J742" s="9">
        <v>295386</v>
      </c>
      <c r="K742" s="10">
        <v>297933</v>
      </c>
    </row>
    <row r="743" spans="1:11" ht="15.75">
      <c r="A743" s="5">
        <v>44853</v>
      </c>
      <c r="B743" s="6" t="s">
        <v>12</v>
      </c>
      <c r="C743" s="7">
        <v>13.7</v>
      </c>
      <c r="D743" s="7">
        <v>9.9499999999999993</v>
      </c>
      <c r="E743" s="8">
        <v>800</v>
      </c>
      <c r="F743" s="6">
        <v>900</v>
      </c>
      <c r="G743" s="6">
        <v>2500</v>
      </c>
      <c r="H743" s="14">
        <f t="shared" si="55"/>
        <v>4200</v>
      </c>
      <c r="I743" s="9">
        <v>306104</v>
      </c>
      <c r="J743" s="9">
        <v>310304</v>
      </c>
      <c r="K743" s="10">
        <v>312078</v>
      </c>
    </row>
    <row r="744" spans="1:11" ht="15.75">
      <c r="A744" s="5">
        <v>44854</v>
      </c>
      <c r="B744" s="6" t="s">
        <v>12</v>
      </c>
      <c r="C744" s="7">
        <v>13.66</v>
      </c>
      <c r="D744" s="7">
        <v>9.8000000000000007</v>
      </c>
      <c r="E744" s="8">
        <v>1500</v>
      </c>
      <c r="F744" s="6">
        <v>900</v>
      </c>
      <c r="G744" s="6">
        <v>4500</v>
      </c>
      <c r="H744" s="14">
        <f t="shared" si="55"/>
        <v>6900</v>
      </c>
      <c r="I744" s="9">
        <v>239626</v>
      </c>
      <c r="J744" s="9">
        <v>246526</v>
      </c>
      <c r="K744" s="10">
        <v>246217</v>
      </c>
    </row>
    <row r="745" spans="1:11" ht="15.75">
      <c r="A745" s="5">
        <v>44855</v>
      </c>
      <c r="B745" s="6" t="s">
        <v>12</v>
      </c>
      <c r="C745" s="7">
        <v>13.58</v>
      </c>
      <c r="D745" s="7">
        <v>9.5500000000000007</v>
      </c>
      <c r="E745" s="8">
        <v>1500</v>
      </c>
      <c r="F745" s="6">
        <v>900</v>
      </c>
      <c r="G745" s="6">
        <v>4500</v>
      </c>
      <c r="H745" s="14">
        <f t="shared" si="55"/>
        <v>6900</v>
      </c>
      <c r="I745" s="9">
        <v>257058</v>
      </c>
      <c r="J745" s="9">
        <v>263958</v>
      </c>
      <c r="K745" s="10">
        <v>263341</v>
      </c>
    </row>
    <row r="746" spans="1:11" ht="15.75">
      <c r="A746" s="5">
        <v>44856</v>
      </c>
      <c r="B746" s="6" t="s">
        <v>12</v>
      </c>
      <c r="C746" s="7">
        <v>13.63</v>
      </c>
      <c r="D746" s="7">
        <v>9.6999999999999993</v>
      </c>
      <c r="E746" s="8">
        <v>2000</v>
      </c>
      <c r="F746" s="6">
        <v>1200</v>
      </c>
      <c r="G746" s="6">
        <v>4500</v>
      </c>
      <c r="H746" s="14">
        <f t="shared" si="55"/>
        <v>7700</v>
      </c>
      <c r="I746" s="9">
        <v>241033</v>
      </c>
      <c r="J746" s="9">
        <v>248733</v>
      </c>
      <c r="K746" s="10">
        <v>249118</v>
      </c>
    </row>
    <row r="747" spans="1:11" ht="15.75">
      <c r="A747" s="5">
        <v>44857</v>
      </c>
      <c r="B747" s="6" t="s">
        <v>12</v>
      </c>
      <c r="C747" s="7">
        <v>13.92</v>
      </c>
      <c r="D747" s="7">
        <v>10.65</v>
      </c>
      <c r="E747" s="8">
        <v>2500</v>
      </c>
      <c r="F747" s="6">
        <v>1200</v>
      </c>
      <c r="G747" s="6">
        <v>6000</v>
      </c>
      <c r="H747" s="14">
        <f t="shared" si="55"/>
        <v>9700</v>
      </c>
      <c r="I747" s="9">
        <v>220421</v>
      </c>
      <c r="J747" s="9">
        <v>230121</v>
      </c>
      <c r="K747" s="10">
        <v>232282</v>
      </c>
    </row>
    <row r="748" spans="1:11" ht="15.75">
      <c r="A748" s="5">
        <v>44858</v>
      </c>
      <c r="B748" s="6" t="s">
        <v>12</v>
      </c>
      <c r="C748" s="7">
        <v>13.63</v>
      </c>
      <c r="D748" s="7">
        <v>9.6999999999999993</v>
      </c>
      <c r="E748" s="8">
        <v>2500</v>
      </c>
      <c r="F748" s="6">
        <v>1200</v>
      </c>
      <c r="G748" s="6">
        <v>6000</v>
      </c>
      <c r="H748" s="14">
        <f t="shared" si="55"/>
        <v>9700</v>
      </c>
      <c r="I748" s="9">
        <v>244277</v>
      </c>
      <c r="J748" s="9">
        <v>253977</v>
      </c>
      <c r="K748" s="10">
        <v>251816</v>
      </c>
    </row>
    <row r="749" spans="1:11" ht="15.75">
      <c r="A749" s="5">
        <v>44859</v>
      </c>
      <c r="B749" s="6" t="s">
        <v>12</v>
      </c>
      <c r="C749" s="7">
        <v>13.93</v>
      </c>
      <c r="D749" s="7">
        <v>10.7</v>
      </c>
      <c r="E749" s="8">
        <v>2500</v>
      </c>
      <c r="F749" s="6">
        <v>1200</v>
      </c>
      <c r="G749" s="6">
        <v>6000</v>
      </c>
      <c r="H749" s="14">
        <f t="shared" si="55"/>
        <v>9700</v>
      </c>
      <c r="I749" s="9">
        <v>238163</v>
      </c>
      <c r="J749" s="9">
        <v>247863</v>
      </c>
      <c r="K749" s="10">
        <v>250178</v>
      </c>
    </row>
    <row r="750" spans="1:11" ht="15.75">
      <c r="A750" s="5">
        <v>44860</v>
      </c>
      <c r="B750" s="6" t="s">
        <v>12</v>
      </c>
      <c r="C750" s="7">
        <v>13.99</v>
      </c>
      <c r="D750" s="7">
        <v>10.9</v>
      </c>
      <c r="E750" s="8">
        <v>2900</v>
      </c>
      <c r="F750" s="6">
        <v>1500</v>
      </c>
      <c r="G750" s="6">
        <v>5000</v>
      </c>
      <c r="H750" s="14">
        <f t="shared" si="55"/>
        <v>9400</v>
      </c>
      <c r="I750" s="9">
        <v>242112</v>
      </c>
      <c r="J750" s="9">
        <v>251512</v>
      </c>
      <c r="K750" s="10">
        <v>251975</v>
      </c>
    </row>
    <row r="751" spans="1:11" ht="15.75">
      <c r="A751" s="5">
        <v>44861</v>
      </c>
      <c r="B751" s="6" t="s">
        <v>12</v>
      </c>
      <c r="C751" s="7">
        <v>13.99</v>
      </c>
      <c r="D751" s="7">
        <v>10.9</v>
      </c>
      <c r="E751" s="8">
        <v>3200</v>
      </c>
      <c r="F751" s="6">
        <v>2000</v>
      </c>
      <c r="G751" s="6">
        <v>6000</v>
      </c>
      <c r="H751" s="14">
        <f t="shared" si="55"/>
        <v>11200</v>
      </c>
      <c r="I751" s="9">
        <v>159995</v>
      </c>
      <c r="J751" s="9">
        <v>171195</v>
      </c>
      <c r="K751" s="9">
        <v>171195</v>
      </c>
    </row>
    <row r="752" spans="1:11" ht="15.75">
      <c r="A752" s="5">
        <v>44862</v>
      </c>
      <c r="B752" s="6" t="s">
        <v>12</v>
      </c>
      <c r="C752" s="7">
        <v>13.95</v>
      </c>
      <c r="D752" s="7">
        <v>10.75</v>
      </c>
      <c r="E752" s="8">
        <v>3200</v>
      </c>
      <c r="F752" s="6">
        <v>2000</v>
      </c>
      <c r="G752" s="6">
        <v>6000</v>
      </c>
      <c r="H752" s="14">
        <f t="shared" si="55"/>
        <v>11200</v>
      </c>
      <c r="I752" s="9">
        <v>98991</v>
      </c>
      <c r="J752" s="9">
        <v>110191</v>
      </c>
      <c r="K752" s="9">
        <v>109806</v>
      </c>
    </row>
    <row r="753" spans="1:11" ht="15.75">
      <c r="A753" s="5">
        <v>44863</v>
      </c>
      <c r="B753" s="6" t="s">
        <v>12</v>
      </c>
      <c r="C753" s="7">
        <v>13.99</v>
      </c>
      <c r="D753" s="7">
        <v>10.9</v>
      </c>
      <c r="E753" s="8">
        <v>2700</v>
      </c>
      <c r="F753" s="6">
        <v>2000</v>
      </c>
      <c r="G753" s="6">
        <v>4000</v>
      </c>
      <c r="H753" s="14">
        <f t="shared" si="55"/>
        <v>8700</v>
      </c>
      <c r="I753" s="9">
        <v>94208</v>
      </c>
      <c r="J753" s="9">
        <v>102908</v>
      </c>
      <c r="K753" s="9">
        <v>103293</v>
      </c>
    </row>
    <row r="754" spans="1:11" ht="15.75">
      <c r="A754" s="5">
        <v>44864</v>
      </c>
      <c r="B754" s="6" t="s">
        <v>12</v>
      </c>
      <c r="C754" s="7">
        <v>13.92</v>
      </c>
      <c r="D754" s="7">
        <v>10.65</v>
      </c>
      <c r="E754" s="8">
        <v>2700</v>
      </c>
      <c r="F754" s="6">
        <v>2000</v>
      </c>
      <c r="G754" s="6">
        <v>4000</v>
      </c>
      <c r="H754" s="14">
        <f t="shared" si="55"/>
        <v>8700</v>
      </c>
      <c r="I754" s="9">
        <v>98237</v>
      </c>
      <c r="J754" s="9">
        <v>106937</v>
      </c>
      <c r="K754" s="9">
        <v>106320</v>
      </c>
    </row>
    <row r="755" spans="1:11" ht="15.75">
      <c r="A755" s="5">
        <v>44865</v>
      </c>
      <c r="B755" s="6" t="s">
        <v>12</v>
      </c>
      <c r="C755" s="7">
        <v>13.98</v>
      </c>
      <c r="D755" s="7">
        <v>10.85</v>
      </c>
      <c r="E755" s="8">
        <v>2200</v>
      </c>
      <c r="F755" s="6">
        <v>2000</v>
      </c>
      <c r="G755" s="6">
        <v>6500</v>
      </c>
      <c r="H755" s="14">
        <f t="shared" si="55"/>
        <v>10700</v>
      </c>
      <c r="I755" s="9">
        <v>67609</v>
      </c>
      <c r="J755" s="9">
        <v>78309</v>
      </c>
      <c r="K755" s="9">
        <v>78772</v>
      </c>
    </row>
    <row r="756" spans="1:11" ht="15.75">
      <c r="A756" s="2" t="s">
        <v>13</v>
      </c>
      <c r="B756" s="2"/>
      <c r="C756" s="2"/>
      <c r="D756" s="2"/>
      <c r="E756" s="11">
        <f>SUM(E725:E755)</f>
        <v>66700</v>
      </c>
      <c r="F756" s="11">
        <f>SUM(F725:F755)</f>
        <v>44700</v>
      </c>
      <c r="G756" s="11">
        <f>SUM(G725:G755)</f>
        <v>135000</v>
      </c>
      <c r="H756" s="11">
        <f>SUM(H726:H755)</f>
        <v>237600</v>
      </c>
      <c r="I756" s="11">
        <f>SUM(I725:I755)</f>
        <v>6451179</v>
      </c>
      <c r="J756" s="11">
        <f>SUM(J725:J755)</f>
        <v>6697579</v>
      </c>
      <c r="K756" s="11">
        <f>SUM(K725:K755)</f>
        <v>6706488</v>
      </c>
    </row>
    <row r="757" spans="1:11" ht="15.75">
      <c r="A757" s="12"/>
      <c r="B757" s="2"/>
      <c r="C757" s="2"/>
      <c r="D757" s="2"/>
      <c r="E757" s="13">
        <f t="shared" ref="E757:K757" si="56">SUM(E756/11575)</f>
        <v>5.7624190064794814</v>
      </c>
      <c r="F757" s="13">
        <f t="shared" si="56"/>
        <v>3.8617710583153348</v>
      </c>
      <c r="G757" s="13">
        <f t="shared" si="56"/>
        <v>11.663066954643629</v>
      </c>
      <c r="H757" s="13">
        <f t="shared" si="56"/>
        <v>20.526997840172786</v>
      </c>
      <c r="I757" s="13">
        <f t="shared" si="56"/>
        <v>557.33727861771058</v>
      </c>
      <c r="J757" s="13">
        <f t="shared" si="56"/>
        <v>578.62453563714905</v>
      </c>
      <c r="K757" s="13">
        <f t="shared" si="56"/>
        <v>579.39421166306693</v>
      </c>
    </row>
    <row r="758" spans="1:11" ht="15.75">
      <c r="A758" s="1" t="s">
        <v>41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47.25">
      <c r="A759" s="2" t="s">
        <v>1</v>
      </c>
      <c r="B759" s="2" t="s">
        <v>2</v>
      </c>
      <c r="C759" s="3" t="s">
        <v>18</v>
      </c>
      <c r="D759" s="3" t="s">
        <v>4</v>
      </c>
      <c r="E759" s="3" t="s">
        <v>5</v>
      </c>
      <c r="F759" s="3" t="s">
        <v>6</v>
      </c>
      <c r="G759" s="3" t="s">
        <v>7</v>
      </c>
      <c r="H759" s="3" t="s">
        <v>8</v>
      </c>
      <c r="I759" s="3" t="s">
        <v>9</v>
      </c>
      <c r="J759" s="3" t="s">
        <v>19</v>
      </c>
      <c r="K759" s="4" t="s">
        <v>11</v>
      </c>
    </row>
    <row r="760" spans="1:11" ht="15.75">
      <c r="A760" s="5">
        <v>44866</v>
      </c>
      <c r="B760" s="6" t="s">
        <v>12</v>
      </c>
      <c r="C760" s="7">
        <v>13.99</v>
      </c>
      <c r="D760" s="7">
        <v>10.9</v>
      </c>
      <c r="E760" s="8">
        <v>1800</v>
      </c>
      <c r="F760" s="8">
        <v>2000</v>
      </c>
      <c r="G760" s="8">
        <v>6500</v>
      </c>
      <c r="H760" s="14">
        <f t="shared" ref="H760:H789" si="57">E760+F760+G760</f>
        <v>10300</v>
      </c>
      <c r="I760" s="9">
        <v>36538</v>
      </c>
      <c r="J760" s="9">
        <v>46838</v>
      </c>
      <c r="K760" s="10">
        <v>46992</v>
      </c>
    </row>
    <row r="761" spans="1:11" ht="15.75">
      <c r="A761" s="5">
        <v>44867</v>
      </c>
      <c r="B761" s="6" t="s">
        <v>12</v>
      </c>
      <c r="C761" s="7">
        <v>13.9</v>
      </c>
      <c r="D761" s="7">
        <v>10.6</v>
      </c>
      <c r="E761" s="8">
        <v>1500</v>
      </c>
      <c r="F761" s="6">
        <v>1700</v>
      </c>
      <c r="G761" s="8">
        <v>6500</v>
      </c>
      <c r="H761" s="14">
        <f t="shared" si="57"/>
        <v>9700</v>
      </c>
      <c r="I761" s="9">
        <v>47894</v>
      </c>
      <c r="J761" s="9">
        <v>57594</v>
      </c>
      <c r="K761" s="10">
        <v>56899</v>
      </c>
    </row>
    <row r="762" spans="1:11" ht="15.75">
      <c r="A762" s="5">
        <v>44868</v>
      </c>
      <c r="B762" s="6" t="s">
        <v>12</v>
      </c>
      <c r="C762" s="7">
        <v>13.99</v>
      </c>
      <c r="D762" s="7">
        <v>10.9</v>
      </c>
      <c r="E762" s="8">
        <v>1500</v>
      </c>
      <c r="F762" s="6">
        <v>1700</v>
      </c>
      <c r="G762" s="8">
        <v>6500</v>
      </c>
      <c r="H762" s="14">
        <f t="shared" si="57"/>
        <v>9700</v>
      </c>
      <c r="I762" s="9">
        <v>30975</v>
      </c>
      <c r="J762" s="9">
        <v>40675</v>
      </c>
      <c r="K762" s="10">
        <v>41370</v>
      </c>
    </row>
    <row r="763" spans="1:11" ht="15.75">
      <c r="A763" s="5">
        <v>44869</v>
      </c>
      <c r="B763" s="6" t="s">
        <v>12</v>
      </c>
      <c r="C763" s="7">
        <v>13.99</v>
      </c>
      <c r="D763" s="7">
        <v>10.9</v>
      </c>
      <c r="E763" s="8">
        <v>1500</v>
      </c>
      <c r="F763" s="6">
        <v>1700</v>
      </c>
      <c r="G763" s="8">
        <v>5000</v>
      </c>
      <c r="H763" s="14">
        <f t="shared" si="57"/>
        <v>8200</v>
      </c>
      <c r="I763" s="9">
        <v>34175</v>
      </c>
      <c r="J763" s="9">
        <v>42375</v>
      </c>
      <c r="K763" s="10">
        <v>42375</v>
      </c>
    </row>
    <row r="764" spans="1:11" ht="15.75">
      <c r="A764" s="5">
        <v>44870</v>
      </c>
      <c r="B764" s="6" t="s">
        <v>12</v>
      </c>
      <c r="C764" s="7">
        <v>13.82</v>
      </c>
      <c r="D764" s="7">
        <v>10.35</v>
      </c>
      <c r="E764" s="8">
        <v>1500</v>
      </c>
      <c r="F764" s="6">
        <v>1700</v>
      </c>
      <c r="G764" s="8">
        <v>5000</v>
      </c>
      <c r="H764" s="14">
        <f t="shared" si="57"/>
        <v>8200</v>
      </c>
      <c r="I764" s="9">
        <v>38018</v>
      </c>
      <c r="J764" s="9">
        <v>46218</v>
      </c>
      <c r="K764" s="9">
        <v>44907</v>
      </c>
    </row>
    <row r="765" spans="1:11" ht="15.75">
      <c r="A765" s="5">
        <v>44871</v>
      </c>
      <c r="B765" s="6" t="s">
        <v>12</v>
      </c>
      <c r="C765" s="7">
        <v>13.93</v>
      </c>
      <c r="D765" s="7">
        <v>10.7</v>
      </c>
      <c r="E765" s="8">
        <v>1500</v>
      </c>
      <c r="F765" s="6">
        <v>1700</v>
      </c>
      <c r="G765" s="8">
        <v>5000</v>
      </c>
      <c r="H765" s="14">
        <f t="shared" si="57"/>
        <v>8200</v>
      </c>
      <c r="I765" s="9">
        <v>27600</v>
      </c>
      <c r="J765" s="9">
        <v>35800</v>
      </c>
      <c r="K765" s="10">
        <v>36648</v>
      </c>
    </row>
    <row r="766" spans="1:11" ht="15.75">
      <c r="A766" s="5">
        <v>44872</v>
      </c>
      <c r="B766" s="6" t="s">
        <v>12</v>
      </c>
      <c r="C766" s="7">
        <v>13.99</v>
      </c>
      <c r="D766" s="7">
        <v>10.9</v>
      </c>
      <c r="E766" s="8">
        <v>1100</v>
      </c>
      <c r="F766" s="6">
        <v>1700</v>
      </c>
      <c r="G766" s="8">
        <v>4500</v>
      </c>
      <c r="H766" s="14">
        <f t="shared" si="57"/>
        <v>7300</v>
      </c>
      <c r="I766" s="9">
        <v>27150</v>
      </c>
      <c r="J766" s="9">
        <v>34450</v>
      </c>
      <c r="K766" s="10">
        <v>34913</v>
      </c>
    </row>
    <row r="767" spans="1:11" ht="15.75">
      <c r="A767" s="5">
        <v>44873</v>
      </c>
      <c r="B767" s="6" t="s">
        <v>12</v>
      </c>
      <c r="C767" s="7">
        <v>13.99</v>
      </c>
      <c r="D767" s="7">
        <v>10.9</v>
      </c>
      <c r="E767" s="8">
        <v>1100</v>
      </c>
      <c r="F767" s="6">
        <v>1700</v>
      </c>
      <c r="G767" s="8">
        <v>4500</v>
      </c>
      <c r="H767" s="14">
        <f t="shared" si="57"/>
        <v>7300</v>
      </c>
      <c r="I767" s="9">
        <v>30273</v>
      </c>
      <c r="J767" s="9">
        <v>37573</v>
      </c>
      <c r="K767" s="10">
        <v>37573</v>
      </c>
    </row>
    <row r="768" spans="1:11" ht="15.75">
      <c r="A768" s="5">
        <v>44874</v>
      </c>
      <c r="B768" s="6" t="s">
        <v>12</v>
      </c>
      <c r="C768" s="7">
        <v>13.99</v>
      </c>
      <c r="D768" s="7">
        <v>10.9</v>
      </c>
      <c r="E768" s="8">
        <v>1100</v>
      </c>
      <c r="F768" s="6">
        <v>1400</v>
      </c>
      <c r="G768" s="8">
        <v>4500</v>
      </c>
      <c r="H768" s="14">
        <f t="shared" si="57"/>
        <v>7000</v>
      </c>
      <c r="I768" s="9">
        <v>27135</v>
      </c>
      <c r="J768" s="9">
        <v>34135</v>
      </c>
      <c r="K768" s="10">
        <v>34135</v>
      </c>
    </row>
    <row r="769" spans="1:11" ht="15.75">
      <c r="A769" s="5">
        <v>44875</v>
      </c>
      <c r="B769" s="6" t="s">
        <v>12</v>
      </c>
      <c r="C769" s="7">
        <v>13.99</v>
      </c>
      <c r="D769" s="7">
        <v>10.9</v>
      </c>
      <c r="E769" s="8">
        <v>1100</v>
      </c>
      <c r="F769" s="6">
        <v>1400</v>
      </c>
      <c r="G769" s="8">
        <v>4000</v>
      </c>
      <c r="H769" s="14">
        <f t="shared" si="57"/>
        <v>6500</v>
      </c>
      <c r="I769" s="9">
        <v>27150</v>
      </c>
      <c r="J769" s="9">
        <v>33650</v>
      </c>
      <c r="K769" s="10">
        <v>33650</v>
      </c>
    </row>
    <row r="770" spans="1:11" ht="15.75">
      <c r="A770" s="5">
        <v>44876</v>
      </c>
      <c r="B770" s="6" t="s">
        <v>12</v>
      </c>
      <c r="C770" s="7">
        <v>13.99</v>
      </c>
      <c r="D770" s="7">
        <v>10.9</v>
      </c>
      <c r="E770" s="8">
        <v>1100</v>
      </c>
      <c r="F770" s="6">
        <v>1400</v>
      </c>
      <c r="G770" s="8">
        <v>4000</v>
      </c>
      <c r="H770" s="14">
        <f t="shared" si="57"/>
        <v>6500</v>
      </c>
      <c r="I770" s="9">
        <v>19022</v>
      </c>
      <c r="J770" s="9">
        <v>25522</v>
      </c>
      <c r="K770" s="10">
        <v>25522</v>
      </c>
    </row>
    <row r="771" spans="1:11" ht="15.75">
      <c r="A771" s="5">
        <v>44877</v>
      </c>
      <c r="B771" s="6" t="s">
        <v>12</v>
      </c>
      <c r="C771" s="7">
        <v>13.99</v>
      </c>
      <c r="D771" s="7">
        <v>10.9</v>
      </c>
      <c r="E771" s="8">
        <v>700</v>
      </c>
      <c r="F771" s="8">
        <v>1000</v>
      </c>
      <c r="G771" s="6">
        <v>3000</v>
      </c>
      <c r="H771" s="14">
        <f t="shared" si="57"/>
        <v>4700</v>
      </c>
      <c r="I771" s="9">
        <v>25527</v>
      </c>
      <c r="J771" s="9">
        <v>30227</v>
      </c>
      <c r="K771" s="10">
        <v>30227</v>
      </c>
    </row>
    <row r="772" spans="1:11" ht="15.75">
      <c r="A772" s="5">
        <v>44878</v>
      </c>
      <c r="B772" s="6" t="s">
        <v>12</v>
      </c>
      <c r="C772" s="7">
        <v>13.99</v>
      </c>
      <c r="D772" s="7">
        <v>10.9</v>
      </c>
      <c r="E772" s="8">
        <v>700</v>
      </c>
      <c r="F772" s="6">
        <v>1000</v>
      </c>
      <c r="G772" s="8">
        <v>3000</v>
      </c>
      <c r="H772" s="14">
        <f t="shared" si="57"/>
        <v>4700</v>
      </c>
      <c r="I772" s="9">
        <v>20062</v>
      </c>
      <c r="J772" s="9">
        <v>24762</v>
      </c>
      <c r="K772" s="10">
        <v>24762</v>
      </c>
    </row>
    <row r="773" spans="1:11" ht="15.75">
      <c r="A773" s="5">
        <v>44879</v>
      </c>
      <c r="B773" s="6" t="s">
        <v>12</v>
      </c>
      <c r="C773" s="7">
        <v>13.99</v>
      </c>
      <c r="D773" s="7">
        <v>10.99</v>
      </c>
      <c r="E773" s="8">
        <v>700</v>
      </c>
      <c r="F773" s="6">
        <v>1000</v>
      </c>
      <c r="G773" s="6">
        <v>3000</v>
      </c>
      <c r="H773" s="14">
        <f t="shared" si="57"/>
        <v>4700</v>
      </c>
      <c r="I773" s="9">
        <v>20108</v>
      </c>
      <c r="J773" s="9">
        <v>24108</v>
      </c>
      <c r="K773" s="10">
        <v>24108</v>
      </c>
    </row>
    <row r="774" spans="1:11" ht="15.75">
      <c r="A774" s="5">
        <v>44880</v>
      </c>
      <c r="B774" s="6" t="s">
        <v>12</v>
      </c>
      <c r="C774" s="7">
        <v>13.96</v>
      </c>
      <c r="D774" s="7">
        <v>10.8</v>
      </c>
      <c r="E774" s="8">
        <v>700</v>
      </c>
      <c r="F774" s="6">
        <v>1000</v>
      </c>
      <c r="G774" s="6">
        <v>3000</v>
      </c>
      <c r="H774" s="14">
        <f t="shared" si="57"/>
        <v>4700</v>
      </c>
      <c r="I774" s="9">
        <v>26233</v>
      </c>
      <c r="J774" s="9">
        <v>30933</v>
      </c>
      <c r="K774" s="10">
        <v>30701</v>
      </c>
    </row>
    <row r="775" spans="1:11" ht="15.75">
      <c r="A775" s="5">
        <v>44881</v>
      </c>
      <c r="B775" s="6" t="s">
        <v>12</v>
      </c>
      <c r="C775" s="7">
        <v>13.99</v>
      </c>
      <c r="D775" s="7">
        <v>10.9</v>
      </c>
      <c r="E775" s="8">
        <v>700</v>
      </c>
      <c r="F775" s="6">
        <v>1000</v>
      </c>
      <c r="G775" s="6">
        <v>3000</v>
      </c>
      <c r="H775" s="14">
        <f t="shared" si="57"/>
        <v>4700</v>
      </c>
      <c r="I775" s="9">
        <v>19961</v>
      </c>
      <c r="J775" s="9">
        <v>24661</v>
      </c>
      <c r="K775" s="10">
        <v>24893</v>
      </c>
    </row>
    <row r="776" spans="1:11" ht="15.75">
      <c r="A776" s="5">
        <v>44882</v>
      </c>
      <c r="B776" s="6" t="s">
        <v>12</v>
      </c>
      <c r="C776" s="7">
        <v>13.9</v>
      </c>
      <c r="D776" s="7">
        <v>10.6</v>
      </c>
      <c r="E776" s="8">
        <v>700</v>
      </c>
      <c r="F776" s="6">
        <v>1000</v>
      </c>
      <c r="G776" s="6">
        <v>3000</v>
      </c>
      <c r="H776" s="14">
        <f t="shared" si="57"/>
        <v>4700</v>
      </c>
      <c r="I776" s="9">
        <v>19662</v>
      </c>
      <c r="J776" s="9">
        <v>24362</v>
      </c>
      <c r="K776" s="10">
        <v>23667</v>
      </c>
    </row>
    <row r="777" spans="1:11" ht="15.75">
      <c r="A777" s="5">
        <v>44883</v>
      </c>
      <c r="B777" s="6" t="s">
        <v>12</v>
      </c>
      <c r="C777" s="7">
        <v>13.98</v>
      </c>
      <c r="D777" s="7">
        <v>10.85</v>
      </c>
      <c r="E777" s="8">
        <v>700</v>
      </c>
      <c r="F777" s="6">
        <v>1000</v>
      </c>
      <c r="G777" s="6">
        <v>3000</v>
      </c>
      <c r="H777" s="14">
        <f t="shared" si="57"/>
        <v>4700</v>
      </c>
      <c r="I777" s="9">
        <v>13584</v>
      </c>
      <c r="J777" s="9">
        <v>18284</v>
      </c>
      <c r="K777" s="10">
        <v>18825</v>
      </c>
    </row>
    <row r="778" spans="1:11" ht="15.75">
      <c r="A778" s="5">
        <v>44884</v>
      </c>
      <c r="B778" s="6" t="s">
        <v>12</v>
      </c>
      <c r="C778" s="7">
        <v>13.99</v>
      </c>
      <c r="D778" s="7">
        <v>10.9</v>
      </c>
      <c r="E778" s="8">
        <v>700</v>
      </c>
      <c r="F778" s="6">
        <v>1000</v>
      </c>
      <c r="G778" s="6">
        <v>3000</v>
      </c>
      <c r="H778" s="14">
        <f t="shared" si="57"/>
        <v>4700</v>
      </c>
      <c r="I778" s="9">
        <v>13709</v>
      </c>
      <c r="J778" s="9">
        <v>18409</v>
      </c>
      <c r="K778" s="10">
        <v>18563</v>
      </c>
    </row>
    <row r="779" spans="1:11" ht="15.75">
      <c r="A779" s="5">
        <v>44885</v>
      </c>
      <c r="B779" s="6" t="s">
        <v>12</v>
      </c>
      <c r="C779" s="7">
        <v>13.92</v>
      </c>
      <c r="D779" s="7">
        <v>10.65</v>
      </c>
      <c r="E779" s="8">
        <v>400</v>
      </c>
      <c r="F779" s="6">
        <v>1000</v>
      </c>
      <c r="G779" s="6">
        <v>3000</v>
      </c>
      <c r="H779" s="14">
        <f t="shared" si="57"/>
        <v>4400</v>
      </c>
      <c r="I779" s="9">
        <v>19697</v>
      </c>
      <c r="J779" s="9">
        <v>24097</v>
      </c>
      <c r="K779" s="10">
        <v>23480</v>
      </c>
    </row>
    <row r="780" spans="1:11" ht="15.75">
      <c r="A780" s="5">
        <v>44886</v>
      </c>
      <c r="B780" s="6" t="s">
        <v>12</v>
      </c>
      <c r="C780" s="7">
        <v>14</v>
      </c>
      <c r="D780" s="7">
        <v>10.95</v>
      </c>
      <c r="E780" s="8">
        <v>400</v>
      </c>
      <c r="F780" s="6">
        <v>1000</v>
      </c>
      <c r="G780" s="6">
        <v>3000</v>
      </c>
      <c r="H780" s="14">
        <f t="shared" si="57"/>
        <v>4400</v>
      </c>
      <c r="I780" s="9">
        <v>5709</v>
      </c>
      <c r="J780" s="9">
        <v>10109</v>
      </c>
      <c r="K780" s="10">
        <v>10804</v>
      </c>
    </row>
    <row r="781" spans="1:11" ht="15.75">
      <c r="A781" s="5">
        <v>44887</v>
      </c>
      <c r="B781" s="6" t="s">
        <v>12</v>
      </c>
      <c r="C781" s="7">
        <v>13.99</v>
      </c>
      <c r="D781" s="7">
        <v>10.9</v>
      </c>
      <c r="E781" s="8">
        <v>400</v>
      </c>
      <c r="F781" s="6">
        <v>1000</v>
      </c>
      <c r="G781" s="6">
        <v>3000</v>
      </c>
      <c r="H781" s="14">
        <f t="shared" si="57"/>
        <v>4400</v>
      </c>
      <c r="I781" s="9">
        <v>10215</v>
      </c>
      <c r="J781" s="9">
        <v>14615</v>
      </c>
      <c r="K781" s="10">
        <v>14537</v>
      </c>
    </row>
    <row r="782" spans="1:11" ht="15.75">
      <c r="A782" s="5">
        <v>44888</v>
      </c>
      <c r="B782" s="6" t="s">
        <v>12</v>
      </c>
      <c r="C782" s="7">
        <v>13.99</v>
      </c>
      <c r="D782" s="7">
        <v>10.9</v>
      </c>
      <c r="E782" s="8">
        <v>400</v>
      </c>
      <c r="F782" s="6">
        <v>500</v>
      </c>
      <c r="G782" s="6">
        <v>3000</v>
      </c>
      <c r="H782" s="14">
        <f t="shared" si="57"/>
        <v>3900</v>
      </c>
      <c r="I782" s="9">
        <v>10204</v>
      </c>
      <c r="J782" s="9">
        <v>14104</v>
      </c>
      <c r="K782" s="10">
        <v>14104</v>
      </c>
    </row>
    <row r="783" spans="1:11" ht="15.75">
      <c r="A783" s="5">
        <v>44889</v>
      </c>
      <c r="B783" s="6" t="s">
        <v>12</v>
      </c>
      <c r="C783" s="7">
        <v>13.99</v>
      </c>
      <c r="D783" s="7">
        <v>10.9</v>
      </c>
      <c r="E783" s="8">
        <v>400</v>
      </c>
      <c r="F783" s="6">
        <v>500</v>
      </c>
      <c r="G783" s="6">
        <v>2000</v>
      </c>
      <c r="H783" s="14">
        <f t="shared" si="57"/>
        <v>2900</v>
      </c>
      <c r="I783" s="9">
        <v>10215</v>
      </c>
      <c r="J783" s="9">
        <v>13115</v>
      </c>
      <c r="K783" s="10">
        <v>13115</v>
      </c>
    </row>
    <row r="784" spans="1:11" ht="15.75">
      <c r="A784" s="5">
        <v>44890</v>
      </c>
      <c r="B784" s="6" t="s">
        <v>12</v>
      </c>
      <c r="C784" s="7">
        <v>13.99</v>
      </c>
      <c r="D784" s="7">
        <v>10.9</v>
      </c>
      <c r="E784" s="8">
        <v>400</v>
      </c>
      <c r="F784" s="6">
        <v>500</v>
      </c>
      <c r="G784" s="6">
        <v>2000</v>
      </c>
      <c r="H784" s="14">
        <f t="shared" si="57"/>
        <v>2900</v>
      </c>
      <c r="I784" s="9">
        <v>13734</v>
      </c>
      <c r="J784" s="9">
        <v>16634</v>
      </c>
      <c r="K784" s="10">
        <v>16634</v>
      </c>
    </row>
    <row r="785" spans="1:11" ht="15.75">
      <c r="A785" s="5">
        <v>44891</v>
      </c>
      <c r="B785" s="6" t="s">
        <v>12</v>
      </c>
      <c r="C785" s="7">
        <v>13.92</v>
      </c>
      <c r="D785" s="7">
        <v>10.65</v>
      </c>
      <c r="E785" s="8">
        <v>400</v>
      </c>
      <c r="F785" s="6">
        <v>500</v>
      </c>
      <c r="G785" s="6">
        <v>2000</v>
      </c>
      <c r="H785" s="14">
        <f t="shared" si="57"/>
        <v>2900</v>
      </c>
      <c r="I785" s="9">
        <v>11294</v>
      </c>
      <c r="J785" s="9">
        <v>14194</v>
      </c>
      <c r="K785" s="10">
        <v>13577</v>
      </c>
    </row>
    <row r="786" spans="1:11" ht="15.75">
      <c r="A786" s="5">
        <v>44892</v>
      </c>
      <c r="B786" s="6" t="s">
        <v>12</v>
      </c>
      <c r="C786" s="7">
        <v>13.99</v>
      </c>
      <c r="D786" s="7">
        <v>10.9</v>
      </c>
      <c r="E786" s="8">
        <v>400</v>
      </c>
      <c r="F786" s="6">
        <v>700</v>
      </c>
      <c r="G786" s="6">
        <v>3000</v>
      </c>
      <c r="H786" s="14">
        <f t="shared" si="57"/>
        <v>4100</v>
      </c>
      <c r="I786" s="9">
        <v>5104</v>
      </c>
      <c r="J786" s="9">
        <v>9204</v>
      </c>
      <c r="K786" s="9">
        <v>9821</v>
      </c>
    </row>
    <row r="787" spans="1:11" ht="15.75">
      <c r="A787" s="5">
        <v>44893</v>
      </c>
      <c r="B787" s="6" t="s">
        <v>12</v>
      </c>
      <c r="C787" s="7">
        <v>13.99</v>
      </c>
      <c r="D787" s="7">
        <v>10.9</v>
      </c>
      <c r="E787" s="8">
        <v>600</v>
      </c>
      <c r="F787" s="6">
        <v>700</v>
      </c>
      <c r="G787" s="6">
        <v>3000</v>
      </c>
      <c r="H787" s="14">
        <f t="shared" si="57"/>
        <v>4300</v>
      </c>
      <c r="I787" s="9">
        <v>12432</v>
      </c>
      <c r="J787" s="9">
        <v>16732</v>
      </c>
      <c r="K787" s="9">
        <v>16732</v>
      </c>
    </row>
    <row r="788" spans="1:11" ht="15.75">
      <c r="A788" s="5">
        <v>44894</v>
      </c>
      <c r="B788" s="6" t="s">
        <v>12</v>
      </c>
      <c r="C788" s="7">
        <v>13.99</v>
      </c>
      <c r="D788" s="7">
        <v>10.9</v>
      </c>
      <c r="E788" s="8">
        <v>800</v>
      </c>
      <c r="F788" s="6">
        <v>600</v>
      </c>
      <c r="G788" s="6">
        <v>3000</v>
      </c>
      <c r="H788" s="14">
        <f t="shared" si="57"/>
        <v>4400</v>
      </c>
      <c r="I788" s="9">
        <v>3828</v>
      </c>
      <c r="J788" s="9">
        <v>8228</v>
      </c>
      <c r="K788" s="9">
        <v>8228</v>
      </c>
    </row>
    <row r="789" spans="1:11" ht="15.75">
      <c r="A789" s="5">
        <v>44895</v>
      </c>
      <c r="B789" s="6" t="s">
        <v>12</v>
      </c>
      <c r="C789" s="7">
        <v>13.99</v>
      </c>
      <c r="D789" s="7">
        <v>10.9</v>
      </c>
      <c r="E789" s="8">
        <v>0</v>
      </c>
      <c r="F789" s="6">
        <v>0</v>
      </c>
      <c r="G789" s="6">
        <v>2000</v>
      </c>
      <c r="H789" s="14">
        <f t="shared" si="57"/>
        <v>2000</v>
      </c>
      <c r="I789" s="9">
        <v>12435</v>
      </c>
      <c r="J789" s="9">
        <v>14435</v>
      </c>
      <c r="K789" s="9">
        <v>14435</v>
      </c>
    </row>
    <row r="790" spans="1:11" ht="15.75">
      <c r="A790" s="2" t="s">
        <v>13</v>
      </c>
      <c r="B790" s="2"/>
      <c r="C790" s="2"/>
      <c r="D790" s="2"/>
      <c r="E790" s="11">
        <f>SUM(E759:E789)</f>
        <v>25000</v>
      </c>
      <c r="F790" s="11">
        <f>SUM(F759:F789)</f>
        <v>33100</v>
      </c>
      <c r="G790" s="11">
        <f>SUM(G759:G789)</f>
        <v>109000</v>
      </c>
      <c r="H790" s="11">
        <f>SUM(H760:H789)</f>
        <v>167100</v>
      </c>
      <c r="I790" s="11">
        <f>SUM(I759:I789)</f>
        <v>619643</v>
      </c>
      <c r="J790" s="11">
        <f>SUM(J759:J789)</f>
        <v>786043</v>
      </c>
      <c r="K790" s="11">
        <f>SUM(K759:K789)</f>
        <v>786197</v>
      </c>
    </row>
    <row r="791" spans="1:11" ht="15.75">
      <c r="A791" s="12"/>
      <c r="B791" s="2"/>
      <c r="C791" s="2"/>
      <c r="D791" s="2"/>
      <c r="E791" s="13">
        <f t="shared" ref="E791:K791" si="58">SUM(E790/11575)</f>
        <v>2.159827213822894</v>
      </c>
      <c r="F791" s="13">
        <f t="shared" si="58"/>
        <v>2.8596112311015118</v>
      </c>
      <c r="G791" s="13">
        <f t="shared" si="58"/>
        <v>9.416846652267818</v>
      </c>
      <c r="H791" s="13">
        <f t="shared" si="58"/>
        <v>14.436285097192224</v>
      </c>
      <c r="I791" s="13">
        <f t="shared" si="58"/>
        <v>53.532872570194385</v>
      </c>
      <c r="J791" s="13">
        <f t="shared" si="58"/>
        <v>67.908682505399568</v>
      </c>
      <c r="K791" s="13">
        <f t="shared" si="58"/>
        <v>67.921987041036715</v>
      </c>
    </row>
    <row r="792" spans="1:11" ht="15.75">
      <c r="A792" s="1" t="s">
        <v>42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47.25">
      <c r="A793" s="2" t="s">
        <v>1</v>
      </c>
      <c r="B793" s="2" t="s">
        <v>2</v>
      </c>
      <c r="C793" s="3" t="s">
        <v>18</v>
      </c>
      <c r="D793" s="3" t="s">
        <v>4</v>
      </c>
      <c r="E793" s="3" t="s">
        <v>5</v>
      </c>
      <c r="F793" s="3" t="s">
        <v>6</v>
      </c>
      <c r="G793" s="3" t="s">
        <v>7</v>
      </c>
      <c r="H793" s="3" t="s">
        <v>8</v>
      </c>
      <c r="I793" s="3" t="s">
        <v>9</v>
      </c>
      <c r="J793" s="3" t="s">
        <v>19</v>
      </c>
      <c r="K793" s="4" t="s">
        <v>11</v>
      </c>
    </row>
    <row r="794" spans="1:11" ht="15.75">
      <c r="A794" s="5">
        <v>44896</v>
      </c>
      <c r="B794" s="6" t="s">
        <v>12</v>
      </c>
      <c r="C794" s="7">
        <v>13.99</v>
      </c>
      <c r="D794" s="7">
        <v>10.9</v>
      </c>
      <c r="E794" s="8">
        <v>500</v>
      </c>
      <c r="F794" s="8">
        <v>600</v>
      </c>
      <c r="G794" s="8">
        <v>2000</v>
      </c>
      <c r="H794" s="14">
        <f t="shared" ref="H794:H824" si="59">E794+F794+G794</f>
        <v>3100</v>
      </c>
      <c r="I794" s="9">
        <v>6704</v>
      </c>
      <c r="J794" s="9">
        <v>9804</v>
      </c>
      <c r="K794" s="10">
        <v>9804</v>
      </c>
    </row>
    <row r="795" spans="1:11" ht="15.75">
      <c r="A795" s="5">
        <v>44897</v>
      </c>
      <c r="B795" s="6" t="s">
        <v>12</v>
      </c>
      <c r="C795" s="7">
        <v>13.99</v>
      </c>
      <c r="D795" s="7">
        <v>10.9</v>
      </c>
      <c r="E795" s="8">
        <v>500</v>
      </c>
      <c r="F795" s="6">
        <v>600</v>
      </c>
      <c r="G795" s="8">
        <v>4000</v>
      </c>
      <c r="H795" s="14">
        <f t="shared" si="59"/>
        <v>5100</v>
      </c>
      <c r="I795" s="9">
        <v>13728</v>
      </c>
      <c r="J795" s="9">
        <v>18828</v>
      </c>
      <c r="K795" s="10">
        <v>18828</v>
      </c>
    </row>
    <row r="796" spans="1:11" ht="15.75">
      <c r="A796" s="5">
        <v>44898</v>
      </c>
      <c r="B796" s="6" t="s">
        <v>12</v>
      </c>
      <c r="C796" s="7">
        <v>13.99</v>
      </c>
      <c r="D796" s="7">
        <v>10.9</v>
      </c>
      <c r="E796" s="8">
        <v>1000</v>
      </c>
      <c r="F796" s="6">
        <v>600</v>
      </c>
      <c r="G796" s="8">
        <v>4000</v>
      </c>
      <c r="H796" s="14">
        <f t="shared" si="59"/>
        <v>5600</v>
      </c>
      <c r="I796" s="9">
        <v>10434</v>
      </c>
      <c r="J796" s="9">
        <v>16034</v>
      </c>
      <c r="K796" s="10">
        <v>16034</v>
      </c>
    </row>
    <row r="797" spans="1:11" ht="15.75">
      <c r="A797" s="5">
        <v>44899</v>
      </c>
      <c r="B797" s="6" t="s">
        <v>12</v>
      </c>
      <c r="C797" s="7">
        <v>13.99</v>
      </c>
      <c r="D797" s="7">
        <v>10.9</v>
      </c>
      <c r="E797" s="8">
        <v>1000</v>
      </c>
      <c r="F797" s="6">
        <v>600</v>
      </c>
      <c r="G797" s="8">
        <v>4000</v>
      </c>
      <c r="H797" s="14">
        <f t="shared" si="59"/>
        <v>5600</v>
      </c>
      <c r="I797" s="9">
        <v>10535</v>
      </c>
      <c r="J797" s="9">
        <v>16135</v>
      </c>
      <c r="K797" s="10">
        <v>16135</v>
      </c>
    </row>
    <row r="798" spans="1:11" ht="15.75">
      <c r="A798" s="5">
        <v>44900</v>
      </c>
      <c r="B798" s="6" t="s">
        <v>12</v>
      </c>
      <c r="C798" s="7">
        <v>13.96</v>
      </c>
      <c r="D798" s="7">
        <v>10.8</v>
      </c>
      <c r="E798" s="8">
        <v>1000</v>
      </c>
      <c r="F798" s="6">
        <v>900</v>
      </c>
      <c r="G798" s="8">
        <v>4000</v>
      </c>
      <c r="H798" s="14">
        <f t="shared" si="59"/>
        <v>5900</v>
      </c>
      <c r="I798" s="9">
        <v>10423</v>
      </c>
      <c r="J798" s="9">
        <v>16323</v>
      </c>
      <c r="K798" s="9">
        <v>16091</v>
      </c>
    </row>
    <row r="799" spans="1:11" ht="15.75">
      <c r="A799" s="5">
        <v>44901</v>
      </c>
      <c r="B799" s="6" t="s">
        <v>12</v>
      </c>
      <c r="C799" s="7">
        <v>13.84</v>
      </c>
      <c r="D799" s="7">
        <v>10.4</v>
      </c>
      <c r="E799" s="8">
        <v>2000</v>
      </c>
      <c r="F799" s="6">
        <v>800</v>
      </c>
      <c r="G799" s="8">
        <v>4000</v>
      </c>
      <c r="H799" s="14">
        <f t="shared" si="59"/>
        <v>6800</v>
      </c>
      <c r="I799" s="9">
        <v>621</v>
      </c>
      <c r="J799" s="9">
        <v>7421</v>
      </c>
      <c r="K799" s="10">
        <v>6495</v>
      </c>
    </row>
    <row r="800" spans="1:11" ht="15.75">
      <c r="A800" s="5">
        <v>44902</v>
      </c>
      <c r="B800" s="6" t="s">
        <v>12</v>
      </c>
      <c r="C800" s="7">
        <v>13.99</v>
      </c>
      <c r="D800" s="7">
        <v>10.9</v>
      </c>
      <c r="E800" s="8">
        <v>2000</v>
      </c>
      <c r="F800" s="6">
        <v>1000</v>
      </c>
      <c r="G800" s="8">
        <v>4000</v>
      </c>
      <c r="H800" s="14">
        <f t="shared" si="59"/>
        <v>7000</v>
      </c>
      <c r="I800" s="9">
        <v>3840</v>
      </c>
      <c r="J800" s="9">
        <v>10840</v>
      </c>
      <c r="K800" s="10">
        <v>11998</v>
      </c>
    </row>
    <row r="801" spans="1:11" ht="15.75">
      <c r="A801" s="5">
        <v>44903</v>
      </c>
      <c r="B801" s="6" t="s">
        <v>12</v>
      </c>
      <c r="C801" s="7">
        <v>13.9</v>
      </c>
      <c r="D801" s="7">
        <v>10.6</v>
      </c>
      <c r="E801" s="8">
        <v>2500</v>
      </c>
      <c r="F801" s="6">
        <v>1000</v>
      </c>
      <c r="G801" s="8">
        <v>4500</v>
      </c>
      <c r="H801" s="14">
        <f t="shared" si="59"/>
        <v>8000</v>
      </c>
      <c r="I801" s="9">
        <v>4700</v>
      </c>
      <c r="J801" s="9">
        <v>12700</v>
      </c>
      <c r="K801" s="10">
        <v>12005</v>
      </c>
    </row>
    <row r="802" spans="1:11" ht="15.75">
      <c r="A802" s="5">
        <v>44904</v>
      </c>
      <c r="B802" s="6" t="s">
        <v>12</v>
      </c>
      <c r="C802" s="7">
        <v>13.99</v>
      </c>
      <c r="D802" s="7">
        <v>10.9</v>
      </c>
      <c r="E802" s="8">
        <v>2500</v>
      </c>
      <c r="F802" s="6">
        <v>1000</v>
      </c>
      <c r="G802" s="8">
        <v>4500</v>
      </c>
      <c r="H802" s="14">
        <f t="shared" si="59"/>
        <v>8000</v>
      </c>
      <c r="I802" s="9">
        <v>640</v>
      </c>
      <c r="J802" s="9">
        <v>8640</v>
      </c>
      <c r="K802" s="10">
        <v>9335</v>
      </c>
    </row>
    <row r="803" spans="1:11" ht="15.75">
      <c r="A803" s="5">
        <v>44905</v>
      </c>
      <c r="B803" s="6" t="s">
        <v>12</v>
      </c>
      <c r="C803" s="7">
        <v>13.99</v>
      </c>
      <c r="D803" s="7">
        <v>10.9</v>
      </c>
      <c r="E803" s="8">
        <v>2000</v>
      </c>
      <c r="F803" s="6">
        <v>1000</v>
      </c>
      <c r="G803" s="8">
        <v>4500</v>
      </c>
      <c r="H803" s="14">
        <f t="shared" si="59"/>
        <v>7500</v>
      </c>
      <c r="I803" s="9">
        <v>5416</v>
      </c>
      <c r="J803" s="9">
        <v>12916</v>
      </c>
      <c r="K803" s="10">
        <v>12916</v>
      </c>
    </row>
    <row r="804" spans="1:11" ht="15.75">
      <c r="A804" s="5">
        <v>44906</v>
      </c>
      <c r="B804" s="6" t="s">
        <v>12</v>
      </c>
      <c r="C804" s="7">
        <v>13.99</v>
      </c>
      <c r="D804" s="7">
        <v>10.9</v>
      </c>
      <c r="E804" s="8">
        <v>2000</v>
      </c>
      <c r="F804" s="6">
        <v>1000</v>
      </c>
      <c r="G804" s="8">
        <v>4500</v>
      </c>
      <c r="H804" s="14">
        <f t="shared" si="59"/>
        <v>7500</v>
      </c>
      <c r="I804" s="9">
        <v>640</v>
      </c>
      <c r="J804" s="9">
        <v>8140</v>
      </c>
      <c r="K804" s="10">
        <v>8140</v>
      </c>
    </row>
    <row r="805" spans="1:11" ht="15.75">
      <c r="A805" s="5">
        <v>44907</v>
      </c>
      <c r="B805" s="6" t="s">
        <v>12</v>
      </c>
      <c r="C805" s="7">
        <v>13.99</v>
      </c>
      <c r="D805" s="7">
        <v>10.9</v>
      </c>
      <c r="E805" s="8">
        <v>2000</v>
      </c>
      <c r="F805" s="8">
        <v>1200</v>
      </c>
      <c r="G805" s="6">
        <v>4500</v>
      </c>
      <c r="H805" s="14">
        <f t="shared" si="59"/>
        <v>7700</v>
      </c>
      <c r="I805" s="9">
        <v>635</v>
      </c>
      <c r="J805" s="9">
        <v>8335</v>
      </c>
      <c r="K805" s="10">
        <v>8335</v>
      </c>
    </row>
    <row r="806" spans="1:11" ht="15.75">
      <c r="A806" s="5">
        <v>44908</v>
      </c>
      <c r="B806" s="6" t="s">
        <v>12</v>
      </c>
      <c r="C806" s="7">
        <v>13.99</v>
      </c>
      <c r="D806" s="7">
        <v>10.9</v>
      </c>
      <c r="E806" s="8">
        <v>2500</v>
      </c>
      <c r="F806" s="6">
        <v>1200</v>
      </c>
      <c r="G806" s="8">
        <v>4500</v>
      </c>
      <c r="H806" s="14">
        <f t="shared" si="59"/>
        <v>8200</v>
      </c>
      <c r="I806" s="9">
        <v>318</v>
      </c>
      <c r="J806" s="9">
        <v>8518</v>
      </c>
      <c r="K806" s="10">
        <v>8518</v>
      </c>
    </row>
    <row r="807" spans="1:11" ht="15.75">
      <c r="A807" s="5">
        <v>44909</v>
      </c>
      <c r="B807" s="6" t="s">
        <v>12</v>
      </c>
      <c r="C807" s="7">
        <v>13.99</v>
      </c>
      <c r="D807" s="7">
        <v>10.9</v>
      </c>
      <c r="E807" s="8">
        <v>3000</v>
      </c>
      <c r="F807" s="6">
        <v>1700</v>
      </c>
      <c r="G807" s="6">
        <v>4000</v>
      </c>
      <c r="H807" s="14">
        <f t="shared" si="59"/>
        <v>8700</v>
      </c>
      <c r="I807" s="9">
        <v>320</v>
      </c>
      <c r="J807" s="9">
        <v>9020</v>
      </c>
      <c r="K807" s="10">
        <v>9020</v>
      </c>
    </row>
    <row r="808" spans="1:11" ht="15.75">
      <c r="A808" s="5">
        <v>44910</v>
      </c>
      <c r="B808" s="6" t="s">
        <v>12</v>
      </c>
      <c r="C808" s="7">
        <v>13.99</v>
      </c>
      <c r="D808" s="7">
        <v>10.9</v>
      </c>
      <c r="E808" s="8">
        <v>3000</v>
      </c>
      <c r="F808" s="6">
        <v>1700</v>
      </c>
      <c r="G808" s="6">
        <v>4500</v>
      </c>
      <c r="H808" s="14">
        <f t="shared" si="59"/>
        <v>9200</v>
      </c>
      <c r="I808" s="9">
        <v>320</v>
      </c>
      <c r="J808" s="9">
        <v>9520</v>
      </c>
      <c r="K808" s="10">
        <v>9520</v>
      </c>
    </row>
    <row r="809" spans="1:11" ht="15.75">
      <c r="A809" s="5">
        <v>44911</v>
      </c>
      <c r="B809" s="6" t="s">
        <v>12</v>
      </c>
      <c r="C809" s="7">
        <v>13.99</v>
      </c>
      <c r="D809" s="7">
        <v>10.9</v>
      </c>
      <c r="E809" s="8">
        <v>3000</v>
      </c>
      <c r="F809" s="6">
        <v>1700</v>
      </c>
      <c r="G809" s="6">
        <v>4500</v>
      </c>
      <c r="H809" s="14">
        <f t="shared" si="59"/>
        <v>9200</v>
      </c>
      <c r="I809" s="9">
        <v>318</v>
      </c>
      <c r="J809" s="9">
        <v>9518</v>
      </c>
      <c r="K809" s="10">
        <v>9518</v>
      </c>
    </row>
    <row r="810" spans="1:11" ht="15.75">
      <c r="A810" s="5">
        <v>44912</v>
      </c>
      <c r="B810" s="6" t="s">
        <v>12</v>
      </c>
      <c r="C810" s="7">
        <v>13.99</v>
      </c>
      <c r="D810" s="7">
        <v>10.9</v>
      </c>
      <c r="E810" s="8">
        <v>3000</v>
      </c>
      <c r="F810" s="6">
        <v>1700</v>
      </c>
      <c r="G810" s="6">
        <v>4500</v>
      </c>
      <c r="H810" s="14">
        <f t="shared" si="59"/>
        <v>9200</v>
      </c>
      <c r="I810" s="9">
        <v>318</v>
      </c>
      <c r="J810" s="9">
        <v>9518</v>
      </c>
      <c r="K810" s="10">
        <v>9518</v>
      </c>
    </row>
    <row r="811" spans="1:11" ht="15.75">
      <c r="A811" s="5">
        <v>44913</v>
      </c>
      <c r="B811" s="6" t="s">
        <v>12</v>
      </c>
      <c r="C811" s="7">
        <v>13.99</v>
      </c>
      <c r="D811" s="7">
        <v>10.9</v>
      </c>
      <c r="E811" s="8">
        <v>3000</v>
      </c>
      <c r="F811" s="6">
        <v>1700</v>
      </c>
      <c r="G811" s="6">
        <v>4500</v>
      </c>
      <c r="H811" s="14">
        <f t="shared" si="59"/>
        <v>9200</v>
      </c>
      <c r="I811" s="9">
        <v>0</v>
      </c>
      <c r="J811" s="9">
        <v>9200</v>
      </c>
      <c r="K811" s="10">
        <v>9200</v>
      </c>
    </row>
    <row r="812" spans="1:11" ht="15.75">
      <c r="A812" s="5">
        <v>44914</v>
      </c>
      <c r="B812" s="6" t="s">
        <v>12</v>
      </c>
      <c r="C812" s="7">
        <v>13.98</v>
      </c>
      <c r="D812" s="7">
        <v>10.85</v>
      </c>
      <c r="E812" s="8">
        <v>3000</v>
      </c>
      <c r="F812" s="6">
        <v>1700</v>
      </c>
      <c r="G812" s="6">
        <v>4500</v>
      </c>
      <c r="H812" s="14">
        <f t="shared" si="59"/>
        <v>9200</v>
      </c>
      <c r="I812" s="9">
        <v>0</v>
      </c>
      <c r="J812" s="9">
        <v>9200</v>
      </c>
      <c r="K812" s="10">
        <v>9046</v>
      </c>
    </row>
    <row r="813" spans="1:11" ht="15.75">
      <c r="A813" s="5">
        <v>44915</v>
      </c>
      <c r="B813" s="6" t="s">
        <v>12</v>
      </c>
      <c r="C813" s="7">
        <v>13.96</v>
      </c>
      <c r="D813" s="7">
        <v>10.8</v>
      </c>
      <c r="E813" s="8">
        <v>3000</v>
      </c>
      <c r="F813" s="6">
        <v>1700</v>
      </c>
      <c r="G813" s="6">
        <v>4500</v>
      </c>
      <c r="H813" s="14">
        <f t="shared" si="59"/>
        <v>9200</v>
      </c>
      <c r="I813" s="9">
        <v>0</v>
      </c>
      <c r="J813" s="9">
        <v>9200</v>
      </c>
      <c r="K813" s="10">
        <v>9122</v>
      </c>
    </row>
    <row r="814" spans="1:11" ht="15.75">
      <c r="A814" s="5">
        <v>44916</v>
      </c>
      <c r="B814" s="6" t="s">
        <v>12</v>
      </c>
      <c r="C814" s="7">
        <v>13.93</v>
      </c>
      <c r="D814" s="7">
        <v>10.7</v>
      </c>
      <c r="E814" s="8">
        <v>3000</v>
      </c>
      <c r="F814" s="6">
        <v>1700</v>
      </c>
      <c r="G814" s="6">
        <v>4500</v>
      </c>
      <c r="H814" s="14">
        <f t="shared" si="59"/>
        <v>9200</v>
      </c>
      <c r="I814" s="9">
        <v>0</v>
      </c>
      <c r="J814" s="9">
        <v>9200</v>
      </c>
      <c r="K814" s="10">
        <v>8968</v>
      </c>
    </row>
    <row r="815" spans="1:11" ht="15.75">
      <c r="A815" s="5">
        <v>44917</v>
      </c>
      <c r="B815" s="6" t="s">
        <v>12</v>
      </c>
      <c r="C815" s="7">
        <v>13.92</v>
      </c>
      <c r="D815" s="7">
        <v>10.65</v>
      </c>
      <c r="E815" s="8">
        <v>3000</v>
      </c>
      <c r="F815" s="6">
        <v>1700</v>
      </c>
      <c r="G815" s="6">
        <v>4500</v>
      </c>
      <c r="H815" s="14">
        <f t="shared" si="59"/>
        <v>9200</v>
      </c>
      <c r="I815" s="9">
        <v>0</v>
      </c>
      <c r="J815" s="9">
        <v>9200</v>
      </c>
      <c r="K815" s="10">
        <v>9046</v>
      </c>
    </row>
    <row r="816" spans="1:11" ht="15.75">
      <c r="A816" s="5">
        <v>44918</v>
      </c>
      <c r="B816" s="6" t="s">
        <v>12</v>
      </c>
      <c r="C816" s="7">
        <v>13.87</v>
      </c>
      <c r="D816" s="7">
        <v>10.5</v>
      </c>
      <c r="E816" s="8">
        <v>3000</v>
      </c>
      <c r="F816" s="6">
        <v>1700</v>
      </c>
      <c r="G816" s="6">
        <v>5000</v>
      </c>
      <c r="H816" s="14">
        <f t="shared" si="59"/>
        <v>9700</v>
      </c>
      <c r="I816" s="9">
        <v>0</v>
      </c>
      <c r="J816" s="9">
        <v>9700</v>
      </c>
      <c r="K816" s="10">
        <v>9391</v>
      </c>
    </row>
    <row r="817" spans="1:11" ht="15.75">
      <c r="A817" s="5">
        <v>44919</v>
      </c>
      <c r="B817" s="6" t="s">
        <v>12</v>
      </c>
      <c r="C817" s="7">
        <v>13.89</v>
      </c>
      <c r="D817" s="7">
        <v>10.55</v>
      </c>
      <c r="E817" s="8">
        <v>3000</v>
      </c>
      <c r="F817" s="6">
        <v>1700</v>
      </c>
      <c r="G817" s="6">
        <v>2000</v>
      </c>
      <c r="H817" s="14">
        <f t="shared" si="59"/>
        <v>6700</v>
      </c>
      <c r="I817" s="9">
        <v>0</v>
      </c>
      <c r="J817" s="9">
        <v>6700</v>
      </c>
      <c r="K817" s="10">
        <v>6854</v>
      </c>
    </row>
    <row r="818" spans="1:11" ht="15.75">
      <c r="A818" s="5">
        <v>44920</v>
      </c>
      <c r="B818" s="6" t="s">
        <v>12</v>
      </c>
      <c r="C818" s="7">
        <v>13.89</v>
      </c>
      <c r="D818" s="7">
        <v>10.55</v>
      </c>
      <c r="E818" s="8">
        <v>3000</v>
      </c>
      <c r="F818" s="6">
        <v>1700</v>
      </c>
      <c r="G818" s="6">
        <v>5500</v>
      </c>
      <c r="H818" s="14">
        <f t="shared" si="59"/>
        <v>10200</v>
      </c>
      <c r="I818" s="9">
        <v>0</v>
      </c>
      <c r="J818" s="9">
        <v>10200</v>
      </c>
      <c r="K818" s="10">
        <v>10200</v>
      </c>
    </row>
    <row r="819" spans="1:11" ht="15.75">
      <c r="A819" s="5">
        <v>44921</v>
      </c>
      <c r="B819" s="6" t="s">
        <v>12</v>
      </c>
      <c r="C819" s="7">
        <v>13.87</v>
      </c>
      <c r="D819" s="7">
        <v>10.5</v>
      </c>
      <c r="E819" s="8">
        <v>3000</v>
      </c>
      <c r="F819" s="6">
        <v>1700</v>
      </c>
      <c r="G819" s="6">
        <v>5500</v>
      </c>
      <c r="H819" s="14">
        <f t="shared" si="59"/>
        <v>10200</v>
      </c>
      <c r="I819" s="9">
        <v>0</v>
      </c>
      <c r="J819" s="9">
        <v>10200</v>
      </c>
      <c r="K819" s="10">
        <v>10046</v>
      </c>
    </row>
    <row r="820" spans="1:11" ht="15.75">
      <c r="A820" s="5">
        <v>44922</v>
      </c>
      <c r="B820" s="6" t="s">
        <v>12</v>
      </c>
      <c r="C820" s="7">
        <v>13.87</v>
      </c>
      <c r="D820" s="7">
        <v>10.5</v>
      </c>
      <c r="E820" s="8">
        <v>3000</v>
      </c>
      <c r="F820" s="6">
        <v>1700</v>
      </c>
      <c r="G820" s="6">
        <v>5500</v>
      </c>
      <c r="H820" s="14">
        <f t="shared" si="59"/>
        <v>10200</v>
      </c>
      <c r="I820" s="9">
        <v>0</v>
      </c>
      <c r="J820" s="9">
        <v>10200</v>
      </c>
      <c r="K820" s="9">
        <v>10200</v>
      </c>
    </row>
    <row r="821" spans="1:11" ht="15.75">
      <c r="A821" s="5">
        <v>44923</v>
      </c>
      <c r="B821" s="6" t="s">
        <v>12</v>
      </c>
      <c r="C821" s="7">
        <v>13.89</v>
      </c>
      <c r="D821" s="7">
        <v>10.55</v>
      </c>
      <c r="E821" s="8">
        <v>3000</v>
      </c>
      <c r="F821" s="6">
        <v>1700</v>
      </c>
      <c r="G821" s="6">
        <v>5500</v>
      </c>
      <c r="H821" s="14">
        <f t="shared" si="59"/>
        <v>10200</v>
      </c>
      <c r="I821" s="9">
        <v>0</v>
      </c>
      <c r="J821" s="9">
        <v>10200</v>
      </c>
      <c r="K821" s="9">
        <v>10354</v>
      </c>
    </row>
    <row r="822" spans="1:11" ht="15.75">
      <c r="A822" s="5">
        <v>44924</v>
      </c>
      <c r="B822" s="6" t="s">
        <v>12</v>
      </c>
      <c r="C822" s="7">
        <v>13.87</v>
      </c>
      <c r="D822" s="7">
        <v>10.5</v>
      </c>
      <c r="E822" s="8">
        <v>3000</v>
      </c>
      <c r="F822" s="6">
        <v>1950</v>
      </c>
      <c r="G822" s="6">
        <v>5250</v>
      </c>
      <c r="H822" s="14">
        <f t="shared" si="59"/>
        <v>10200</v>
      </c>
      <c r="I822" s="9">
        <v>0</v>
      </c>
      <c r="J822" s="9">
        <v>10200</v>
      </c>
      <c r="K822" s="9">
        <v>10046</v>
      </c>
    </row>
    <row r="823" spans="1:11" ht="15.75">
      <c r="A823" s="5">
        <v>44925</v>
      </c>
      <c r="B823" s="6" t="s">
        <v>12</v>
      </c>
      <c r="C823" s="7">
        <v>13.85</v>
      </c>
      <c r="D823" s="7">
        <v>10.45</v>
      </c>
      <c r="E823" s="8">
        <v>3000</v>
      </c>
      <c r="F823" s="6">
        <v>1950</v>
      </c>
      <c r="G823" s="6">
        <v>5250</v>
      </c>
      <c r="H823" s="14">
        <f t="shared" si="59"/>
        <v>10200</v>
      </c>
      <c r="I823" s="9">
        <v>0</v>
      </c>
      <c r="J823" s="9">
        <v>10200</v>
      </c>
      <c r="K823" s="9">
        <v>10046</v>
      </c>
    </row>
    <row r="824" spans="1:11" ht="15.75">
      <c r="A824" s="5">
        <v>44926</v>
      </c>
      <c r="B824" s="6" t="s">
        <v>12</v>
      </c>
      <c r="C824" s="7">
        <v>13.81</v>
      </c>
      <c r="D824" s="7">
        <v>10.3</v>
      </c>
      <c r="E824" s="8">
        <v>3000</v>
      </c>
      <c r="F824" s="6">
        <v>1950</v>
      </c>
      <c r="G824" s="6">
        <v>5250</v>
      </c>
      <c r="H824" s="14">
        <f t="shared" si="59"/>
        <v>10200</v>
      </c>
      <c r="I824" s="9">
        <v>0</v>
      </c>
      <c r="J824" s="9">
        <v>10200</v>
      </c>
      <c r="K824" s="9">
        <v>9899</v>
      </c>
    </row>
    <row r="825" spans="1:11" ht="15.75">
      <c r="A825" s="2" t="s">
        <v>13</v>
      </c>
      <c r="B825" s="2"/>
      <c r="C825" s="2"/>
      <c r="D825" s="2"/>
      <c r="E825" s="11">
        <f>SUM(E793:E824)</f>
        <v>75500</v>
      </c>
      <c r="F825" s="11">
        <f>SUM(F793:F824)</f>
        <v>42850</v>
      </c>
      <c r="G825" s="11">
        <f>SUM(G793:G824)</f>
        <v>137750</v>
      </c>
      <c r="H825" s="11">
        <f>SUM(H794:H824)</f>
        <v>256100</v>
      </c>
      <c r="I825" s="11">
        <f>SUM(I793:I824)</f>
        <v>69910</v>
      </c>
      <c r="J825" s="11">
        <f>SUM(J793:J824)</f>
        <v>326010</v>
      </c>
      <c r="K825" s="11">
        <f>SUM(K793:K824)</f>
        <v>324628</v>
      </c>
    </row>
    <row r="826" spans="1:11" ht="15.75">
      <c r="A826" s="12"/>
      <c r="B826" s="2"/>
      <c r="C826" s="2"/>
      <c r="D826" s="2"/>
      <c r="E826" s="13">
        <f t="shared" ref="E826:K826" si="60">SUM(E825/11575)</f>
        <v>6.5226781857451401</v>
      </c>
      <c r="F826" s="13">
        <f t="shared" si="60"/>
        <v>3.7019438444924404</v>
      </c>
      <c r="G826" s="13">
        <f t="shared" si="60"/>
        <v>11.900647948164147</v>
      </c>
      <c r="H826" s="13">
        <f t="shared" si="60"/>
        <v>22.125269978401729</v>
      </c>
      <c r="I826" s="13">
        <f>SUM(I825/11575)</f>
        <v>6.039740820734341</v>
      </c>
      <c r="J826" s="13">
        <f t="shared" si="60"/>
        <v>28.16501079913607</v>
      </c>
      <c r="K826" s="13">
        <f t="shared" si="60"/>
        <v>28.04561555075594</v>
      </c>
    </row>
    <row r="827" spans="1:11" ht="15.75">
      <c r="A827" s="1" t="s">
        <v>43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47.25">
      <c r="A828" s="2" t="s">
        <v>1</v>
      </c>
      <c r="B828" s="2" t="s">
        <v>2</v>
      </c>
      <c r="C828" s="3" t="s">
        <v>18</v>
      </c>
      <c r="D828" s="3" t="s">
        <v>4</v>
      </c>
      <c r="E828" s="3" t="s">
        <v>5</v>
      </c>
      <c r="F828" s="3" t="s">
        <v>6</v>
      </c>
      <c r="G828" s="3" t="s">
        <v>7</v>
      </c>
      <c r="H828" s="3" t="s">
        <v>8</v>
      </c>
      <c r="I828" s="3" t="s">
        <v>9</v>
      </c>
      <c r="J828" s="3" t="s">
        <v>19</v>
      </c>
      <c r="K828" s="4" t="s">
        <v>11</v>
      </c>
    </row>
    <row r="829" spans="1:11" ht="15.75">
      <c r="A829" s="5">
        <v>44927</v>
      </c>
      <c r="B829" s="6" t="s">
        <v>12</v>
      </c>
      <c r="C829" s="7">
        <v>13.78</v>
      </c>
      <c r="D829" s="7">
        <v>10.199999999999999</v>
      </c>
      <c r="E829" s="8">
        <v>2900</v>
      </c>
      <c r="F829" s="8">
        <v>1900</v>
      </c>
      <c r="G829" s="8">
        <v>5050</v>
      </c>
      <c r="H829" s="14">
        <f>E829+F829+G829</f>
        <v>9850</v>
      </c>
      <c r="I829" s="9">
        <v>0</v>
      </c>
      <c r="J829" s="9">
        <v>9850</v>
      </c>
      <c r="K829" s="10">
        <v>9618</v>
      </c>
    </row>
    <row r="830" spans="1:11" ht="15.75">
      <c r="A830" s="5">
        <v>44928</v>
      </c>
      <c r="B830" s="6" t="s">
        <v>12</v>
      </c>
      <c r="C830" s="7">
        <v>13.72</v>
      </c>
      <c r="D830" s="7">
        <v>10</v>
      </c>
      <c r="E830" s="8">
        <v>2900</v>
      </c>
      <c r="F830" s="6">
        <v>1900</v>
      </c>
      <c r="G830" s="8">
        <v>5050</v>
      </c>
      <c r="H830" s="9">
        <f t="shared" ref="H830:H859" si="61">E830+F830+G830</f>
        <v>9850</v>
      </c>
      <c r="I830" s="9">
        <v>0</v>
      </c>
      <c r="J830" s="9">
        <v>9850</v>
      </c>
      <c r="K830" s="10">
        <v>9387</v>
      </c>
    </row>
    <row r="831" spans="1:11" ht="15.75">
      <c r="A831" s="5">
        <v>44929</v>
      </c>
      <c r="B831" s="6" t="s">
        <v>12</v>
      </c>
      <c r="C831" s="7">
        <v>13.67</v>
      </c>
      <c r="D831" s="7">
        <v>9.85</v>
      </c>
      <c r="E831" s="8">
        <v>2900</v>
      </c>
      <c r="F831" s="6">
        <v>2100</v>
      </c>
      <c r="G831" s="8">
        <v>5050</v>
      </c>
      <c r="H831" s="9">
        <f t="shared" si="61"/>
        <v>10050</v>
      </c>
      <c r="I831" s="9">
        <v>0</v>
      </c>
      <c r="J831" s="9">
        <v>10050</v>
      </c>
      <c r="K831" s="10">
        <v>9665</v>
      </c>
    </row>
    <row r="832" spans="1:11" ht="15.75">
      <c r="A832" s="5">
        <v>44930</v>
      </c>
      <c r="B832" s="6" t="s">
        <v>12</v>
      </c>
      <c r="C832" s="7">
        <v>13.55</v>
      </c>
      <c r="D832" s="7">
        <v>9.4499999999999993</v>
      </c>
      <c r="E832" s="8">
        <v>2900</v>
      </c>
      <c r="F832" s="6">
        <v>2100</v>
      </c>
      <c r="G832" s="8">
        <v>5050</v>
      </c>
      <c r="H832" s="9">
        <f t="shared" si="61"/>
        <v>10050</v>
      </c>
      <c r="I832" s="9">
        <v>0</v>
      </c>
      <c r="J832" s="9">
        <v>10050</v>
      </c>
      <c r="K832" s="10">
        <v>9124</v>
      </c>
    </row>
    <row r="833" spans="1:11" ht="15.75">
      <c r="A833" s="5">
        <v>44931</v>
      </c>
      <c r="B833" s="6" t="s">
        <v>12</v>
      </c>
      <c r="C833" s="7">
        <v>13.44</v>
      </c>
      <c r="D833" s="7">
        <v>9.1</v>
      </c>
      <c r="E833" s="8">
        <v>2650</v>
      </c>
      <c r="F833" s="6">
        <v>1720</v>
      </c>
      <c r="G833" s="8">
        <v>4600</v>
      </c>
      <c r="H833" s="9">
        <f t="shared" si="61"/>
        <v>8970</v>
      </c>
      <c r="I833" s="9">
        <v>0</v>
      </c>
      <c r="J833" s="9">
        <v>8970</v>
      </c>
      <c r="K833" s="9">
        <v>8122</v>
      </c>
    </row>
    <row r="834" spans="1:11" ht="15.75">
      <c r="A834" s="5">
        <v>44932</v>
      </c>
      <c r="B834" s="6" t="s">
        <v>12</v>
      </c>
      <c r="C834" s="7">
        <v>13.35</v>
      </c>
      <c r="D834" s="7">
        <v>8.8000000000000007</v>
      </c>
      <c r="E834" s="8">
        <v>2650</v>
      </c>
      <c r="F834" s="6">
        <v>1720</v>
      </c>
      <c r="G834" s="8">
        <v>4600</v>
      </c>
      <c r="H834" s="9">
        <f t="shared" si="61"/>
        <v>8970</v>
      </c>
      <c r="I834" s="9">
        <v>0</v>
      </c>
      <c r="J834" s="9">
        <v>8970</v>
      </c>
      <c r="K834" s="10">
        <v>8274</v>
      </c>
    </row>
    <row r="835" spans="1:11" ht="15.75">
      <c r="A835" s="5">
        <v>44933</v>
      </c>
      <c r="B835" s="6" t="s">
        <v>12</v>
      </c>
      <c r="C835" s="7">
        <v>13.23</v>
      </c>
      <c r="D835" s="7">
        <v>8.4</v>
      </c>
      <c r="E835" s="8">
        <v>2650</v>
      </c>
      <c r="F835" s="6">
        <v>1920</v>
      </c>
      <c r="G835" s="8">
        <v>4600</v>
      </c>
      <c r="H835" s="9">
        <f t="shared" si="61"/>
        <v>9170</v>
      </c>
      <c r="I835" s="9">
        <v>0</v>
      </c>
      <c r="J835" s="9">
        <v>9170</v>
      </c>
      <c r="K835" s="10">
        <v>8259</v>
      </c>
    </row>
    <row r="836" spans="1:11" ht="15.75">
      <c r="A836" s="5">
        <v>44934</v>
      </c>
      <c r="B836" s="6" t="s">
        <v>12</v>
      </c>
      <c r="C836" s="7">
        <v>13.11</v>
      </c>
      <c r="D836" s="7">
        <v>8</v>
      </c>
      <c r="E836" s="8">
        <v>2650</v>
      </c>
      <c r="F836" s="6">
        <v>1920</v>
      </c>
      <c r="G836" s="8">
        <v>4600</v>
      </c>
      <c r="H836" s="9">
        <f t="shared" si="61"/>
        <v>9170</v>
      </c>
      <c r="I836" s="9">
        <v>0</v>
      </c>
      <c r="J836" s="9">
        <v>9170</v>
      </c>
      <c r="K836" s="10">
        <v>8259</v>
      </c>
    </row>
    <row r="837" spans="1:11" ht="15.75">
      <c r="A837" s="5">
        <v>44935</v>
      </c>
      <c r="B837" s="6" t="s">
        <v>12</v>
      </c>
      <c r="C837" s="7">
        <v>13</v>
      </c>
      <c r="D837" s="7">
        <v>7.65</v>
      </c>
      <c r="E837" s="8">
        <v>2650</v>
      </c>
      <c r="F837" s="6">
        <v>1920</v>
      </c>
      <c r="G837" s="8">
        <v>4600</v>
      </c>
      <c r="H837" s="9">
        <f t="shared" si="61"/>
        <v>9170</v>
      </c>
      <c r="I837" s="9">
        <v>0</v>
      </c>
      <c r="J837" s="9">
        <v>9170</v>
      </c>
      <c r="K837" s="10">
        <v>8340</v>
      </c>
    </row>
    <row r="838" spans="1:11" ht="15.75">
      <c r="A838" s="5">
        <v>44936</v>
      </c>
      <c r="B838" s="6" t="s">
        <v>12</v>
      </c>
      <c r="C838" s="7">
        <v>12.8</v>
      </c>
      <c r="D838" s="7">
        <v>7</v>
      </c>
      <c r="E838" s="8">
        <v>2650</v>
      </c>
      <c r="F838" s="6">
        <v>1920</v>
      </c>
      <c r="G838" s="8">
        <v>4900</v>
      </c>
      <c r="H838" s="9">
        <f t="shared" si="61"/>
        <v>9470</v>
      </c>
      <c r="I838" s="9">
        <v>0</v>
      </c>
      <c r="J838" s="10">
        <v>9470</v>
      </c>
      <c r="K838" s="16">
        <v>7978</v>
      </c>
    </row>
    <row r="839" spans="1:11" ht="15.75">
      <c r="A839" s="5">
        <v>44937</v>
      </c>
      <c r="B839" s="6" t="s">
        <v>12</v>
      </c>
      <c r="C839" s="7">
        <v>12.73</v>
      </c>
      <c r="D839" s="7">
        <v>6.75</v>
      </c>
      <c r="E839" s="8">
        <v>2650</v>
      </c>
      <c r="F839" s="6">
        <v>1800</v>
      </c>
      <c r="G839" s="8">
        <v>4900</v>
      </c>
      <c r="H839" s="9">
        <f t="shared" si="61"/>
        <v>9350</v>
      </c>
      <c r="I839" s="9">
        <v>0</v>
      </c>
      <c r="J839" s="9">
        <v>9350</v>
      </c>
      <c r="K839" s="10">
        <v>8828</v>
      </c>
    </row>
    <row r="840" spans="1:11" ht="15.75">
      <c r="A840" s="5">
        <v>44938</v>
      </c>
      <c r="B840" s="6" t="s">
        <v>12</v>
      </c>
      <c r="C840" s="7">
        <v>12.7</v>
      </c>
      <c r="D840" s="7">
        <v>6.65</v>
      </c>
      <c r="E840" s="8">
        <v>2650</v>
      </c>
      <c r="F840" s="8">
        <v>1775</v>
      </c>
      <c r="G840" s="6">
        <v>4900</v>
      </c>
      <c r="H840" s="9">
        <f t="shared" si="61"/>
        <v>9325</v>
      </c>
      <c r="I840" s="9">
        <v>0</v>
      </c>
      <c r="J840" s="9">
        <v>9325</v>
      </c>
      <c r="K840" s="10">
        <v>9105</v>
      </c>
    </row>
    <row r="841" spans="1:11" ht="15.75">
      <c r="A841" s="5">
        <v>44939</v>
      </c>
      <c r="B841" s="6" t="s">
        <v>12</v>
      </c>
      <c r="C841" s="7">
        <v>12.71</v>
      </c>
      <c r="D841" s="7">
        <v>6.7</v>
      </c>
      <c r="E841" s="8">
        <v>2650</v>
      </c>
      <c r="F841" s="6">
        <v>1800</v>
      </c>
      <c r="G841" s="8">
        <v>4900</v>
      </c>
      <c r="H841" s="9">
        <f t="shared" si="61"/>
        <v>9350</v>
      </c>
      <c r="I841" s="9">
        <v>0</v>
      </c>
      <c r="J841" s="9">
        <v>9350</v>
      </c>
      <c r="K841" s="10">
        <v>9424</v>
      </c>
    </row>
    <row r="842" spans="1:11" ht="15.75">
      <c r="A842" s="5">
        <v>44940</v>
      </c>
      <c r="B842" s="6" t="s">
        <v>12</v>
      </c>
      <c r="C842" s="7">
        <v>12.83</v>
      </c>
      <c r="D842" s="7">
        <v>7.1</v>
      </c>
      <c r="E842" s="8">
        <v>1760</v>
      </c>
      <c r="F842" s="6">
        <v>1145</v>
      </c>
      <c r="G842" s="6">
        <v>3065</v>
      </c>
      <c r="H842" s="9">
        <f t="shared" si="61"/>
        <v>5970</v>
      </c>
      <c r="I842" s="9">
        <v>0</v>
      </c>
      <c r="J842" s="9">
        <v>5970</v>
      </c>
      <c r="K842" s="10">
        <v>6861</v>
      </c>
    </row>
    <row r="843" spans="1:11" ht="15.75">
      <c r="A843" s="5">
        <v>44941</v>
      </c>
      <c r="B843" s="6" t="s">
        <v>12</v>
      </c>
      <c r="C843" s="7">
        <v>12.99</v>
      </c>
      <c r="D843" s="7">
        <v>7.6</v>
      </c>
      <c r="E843" s="8">
        <v>1760</v>
      </c>
      <c r="F843" s="6">
        <v>1145</v>
      </c>
      <c r="G843" s="6">
        <v>3065</v>
      </c>
      <c r="H843" s="9">
        <f t="shared" si="61"/>
        <v>5970</v>
      </c>
      <c r="I843" s="9">
        <v>0</v>
      </c>
      <c r="J843" s="9">
        <v>5970</v>
      </c>
      <c r="K843" s="10">
        <v>7165</v>
      </c>
    </row>
    <row r="844" spans="1:11" ht="15.75">
      <c r="A844" s="5">
        <v>44942</v>
      </c>
      <c r="B844" s="6" t="s">
        <v>12</v>
      </c>
      <c r="C844" s="7">
        <v>13.14</v>
      </c>
      <c r="D844" s="7">
        <v>8.1</v>
      </c>
      <c r="E844" s="8">
        <v>1760</v>
      </c>
      <c r="F844" s="6">
        <v>1145</v>
      </c>
      <c r="G844" s="6">
        <v>3065</v>
      </c>
      <c r="H844" s="9">
        <f t="shared" si="61"/>
        <v>5970</v>
      </c>
      <c r="I844" s="9">
        <v>0</v>
      </c>
      <c r="J844" s="9">
        <v>5970</v>
      </c>
      <c r="K844" s="10">
        <v>7102</v>
      </c>
    </row>
    <row r="845" spans="1:11" ht="15.75">
      <c r="A845" s="5">
        <v>44943</v>
      </c>
      <c r="B845" s="6" t="s">
        <v>12</v>
      </c>
      <c r="C845" s="7">
        <v>13.32</v>
      </c>
      <c r="D845" s="7">
        <v>8.6999999999999993</v>
      </c>
      <c r="E845" s="8">
        <v>2200</v>
      </c>
      <c r="F845" s="6">
        <v>1430</v>
      </c>
      <c r="G845" s="6">
        <v>3845</v>
      </c>
      <c r="H845" s="9">
        <f t="shared" si="61"/>
        <v>7475</v>
      </c>
      <c r="I845" s="9">
        <v>0</v>
      </c>
      <c r="J845" s="9">
        <v>7475</v>
      </c>
      <c r="K845" s="10">
        <v>8841</v>
      </c>
    </row>
    <row r="846" spans="1:11" ht="15.75">
      <c r="A846" s="5">
        <v>44944</v>
      </c>
      <c r="B846" s="6" t="s">
        <v>12</v>
      </c>
      <c r="C846" s="7">
        <v>13.29</v>
      </c>
      <c r="D846" s="7">
        <v>8.6</v>
      </c>
      <c r="E846" s="8">
        <v>2650</v>
      </c>
      <c r="F846" s="6">
        <v>1720</v>
      </c>
      <c r="G846" s="6">
        <v>4600</v>
      </c>
      <c r="H846" s="9">
        <f t="shared" si="61"/>
        <v>8970</v>
      </c>
      <c r="I846" s="9">
        <v>0</v>
      </c>
      <c r="J846" s="9">
        <v>8970</v>
      </c>
      <c r="K846" s="10">
        <v>8742</v>
      </c>
    </row>
    <row r="847" spans="1:11" ht="15.75">
      <c r="A847" s="5">
        <v>44945</v>
      </c>
      <c r="B847" s="6" t="s">
        <v>12</v>
      </c>
      <c r="C847" s="7">
        <v>13.11</v>
      </c>
      <c r="D847" s="7">
        <v>8</v>
      </c>
      <c r="E847" s="8">
        <v>2650</v>
      </c>
      <c r="F847" s="6">
        <v>1800</v>
      </c>
      <c r="G847" s="6">
        <v>4600</v>
      </c>
      <c r="H847" s="9">
        <f t="shared" si="61"/>
        <v>9050</v>
      </c>
      <c r="I847" s="9">
        <v>0</v>
      </c>
      <c r="J847" s="9">
        <v>9050</v>
      </c>
      <c r="K847" s="10">
        <v>7684</v>
      </c>
    </row>
    <row r="848" spans="1:11" ht="15.75">
      <c r="A848" s="5">
        <v>44946</v>
      </c>
      <c r="B848" s="6" t="s">
        <v>12</v>
      </c>
      <c r="C848" s="7">
        <v>13</v>
      </c>
      <c r="D848" s="7">
        <v>7.65</v>
      </c>
      <c r="E848" s="8">
        <v>2850</v>
      </c>
      <c r="F848" s="6">
        <v>1800</v>
      </c>
      <c r="G848" s="6">
        <v>4800</v>
      </c>
      <c r="H848" s="9">
        <f t="shared" si="61"/>
        <v>9450</v>
      </c>
      <c r="I848" s="9">
        <v>0</v>
      </c>
      <c r="J848" s="9">
        <v>9450</v>
      </c>
      <c r="K848" s="10">
        <v>8620</v>
      </c>
    </row>
    <row r="849" spans="1:11" ht="15.75">
      <c r="A849" s="5">
        <v>44947</v>
      </c>
      <c r="B849" s="6" t="s">
        <v>12</v>
      </c>
      <c r="C849" s="7">
        <v>12.93</v>
      </c>
      <c r="D849" s="7">
        <v>7.4</v>
      </c>
      <c r="E849" s="8">
        <v>2850</v>
      </c>
      <c r="F849" s="6">
        <v>1800</v>
      </c>
      <c r="G849" s="6">
        <v>4800</v>
      </c>
      <c r="H849" s="9">
        <f t="shared" si="61"/>
        <v>9450</v>
      </c>
      <c r="I849" s="9">
        <v>0</v>
      </c>
      <c r="J849" s="9">
        <v>9450</v>
      </c>
      <c r="K849" s="10">
        <v>8928</v>
      </c>
    </row>
    <row r="850" spans="1:11" ht="15.75">
      <c r="A850" s="5">
        <v>44948</v>
      </c>
      <c r="B850" s="6" t="s">
        <v>12</v>
      </c>
      <c r="C850" s="7">
        <v>12.86</v>
      </c>
      <c r="D850" s="7">
        <v>7.2</v>
      </c>
      <c r="E850" s="8">
        <v>2750</v>
      </c>
      <c r="F850" s="6">
        <v>1900</v>
      </c>
      <c r="G850" s="6">
        <v>4600</v>
      </c>
      <c r="H850" s="9">
        <f t="shared" si="61"/>
        <v>9250</v>
      </c>
      <c r="I850" s="9">
        <v>0</v>
      </c>
      <c r="J850" s="9">
        <v>9250</v>
      </c>
      <c r="K850" s="10">
        <v>8728</v>
      </c>
    </row>
    <row r="851" spans="1:11" ht="15.75">
      <c r="A851" s="5">
        <v>44949</v>
      </c>
      <c r="B851" s="6" t="s">
        <v>12</v>
      </c>
      <c r="C851" s="7">
        <v>12.8</v>
      </c>
      <c r="D851" s="7">
        <v>7</v>
      </c>
      <c r="E851" s="8">
        <v>2750</v>
      </c>
      <c r="F851" s="6">
        <v>1900</v>
      </c>
      <c r="G851" s="6">
        <v>4600</v>
      </c>
      <c r="H851" s="9">
        <f t="shared" si="61"/>
        <v>9250</v>
      </c>
      <c r="I851" s="9">
        <v>0</v>
      </c>
      <c r="J851" s="9">
        <v>9250</v>
      </c>
      <c r="K851" s="10">
        <v>8802</v>
      </c>
    </row>
    <row r="852" spans="1:11" ht="15.75">
      <c r="A852" s="5">
        <v>44950</v>
      </c>
      <c r="B852" s="6" t="s">
        <v>12</v>
      </c>
      <c r="C852" s="7">
        <v>12.76</v>
      </c>
      <c r="D852" s="7">
        <v>6.85</v>
      </c>
      <c r="E852" s="8">
        <v>2750</v>
      </c>
      <c r="F852" s="6">
        <v>1900</v>
      </c>
      <c r="G852" s="6">
        <v>4600</v>
      </c>
      <c r="H852" s="9">
        <f t="shared" si="61"/>
        <v>9250</v>
      </c>
      <c r="I852" s="9">
        <v>0</v>
      </c>
      <c r="J852" s="9">
        <v>9250</v>
      </c>
      <c r="K852" s="10">
        <v>8951</v>
      </c>
    </row>
    <row r="853" spans="1:11" ht="15.75">
      <c r="A853" s="5">
        <v>44951</v>
      </c>
      <c r="B853" s="6" t="s">
        <v>12</v>
      </c>
      <c r="C853" s="7">
        <v>12.7</v>
      </c>
      <c r="D853" s="7">
        <v>6.65</v>
      </c>
      <c r="E853" s="8">
        <v>2750</v>
      </c>
      <c r="F853" s="6">
        <v>1900</v>
      </c>
      <c r="G853" s="6">
        <v>4600</v>
      </c>
      <c r="H853" s="9">
        <f t="shared" si="61"/>
        <v>9250</v>
      </c>
      <c r="I853" s="9">
        <v>0</v>
      </c>
      <c r="J853" s="9">
        <v>9250</v>
      </c>
      <c r="K853" s="10">
        <v>8807</v>
      </c>
    </row>
    <row r="854" spans="1:11" ht="15.75">
      <c r="A854" s="5">
        <v>44952</v>
      </c>
      <c r="B854" s="6" t="s">
        <v>12</v>
      </c>
      <c r="C854" s="7">
        <v>12.64</v>
      </c>
      <c r="D854" s="7">
        <v>6.45</v>
      </c>
      <c r="E854" s="8">
        <v>2650</v>
      </c>
      <c r="F854" s="6">
        <v>1750</v>
      </c>
      <c r="G854" s="6">
        <v>4600</v>
      </c>
      <c r="H854" s="9">
        <f t="shared" si="61"/>
        <v>9000</v>
      </c>
      <c r="I854" s="9">
        <v>0</v>
      </c>
      <c r="J854" s="9">
        <v>9000</v>
      </c>
      <c r="K854" s="10">
        <v>8560</v>
      </c>
    </row>
    <row r="855" spans="1:11" ht="15.75">
      <c r="A855" s="5">
        <v>44953</v>
      </c>
      <c r="B855" s="6" t="s">
        <v>12</v>
      </c>
      <c r="C855" s="7">
        <v>12.6</v>
      </c>
      <c r="D855" s="7">
        <v>6.35</v>
      </c>
      <c r="E855" s="8">
        <v>2300</v>
      </c>
      <c r="F855" s="6">
        <v>1700</v>
      </c>
      <c r="G855" s="6">
        <v>4200</v>
      </c>
      <c r="H855" s="9">
        <f t="shared" si="61"/>
        <v>8200</v>
      </c>
      <c r="I855" s="9">
        <v>0</v>
      </c>
      <c r="J855" s="9">
        <v>8200</v>
      </c>
      <c r="K855" s="9">
        <v>7906</v>
      </c>
    </row>
    <row r="856" spans="1:11" ht="15.75">
      <c r="A856" s="5">
        <v>44954</v>
      </c>
      <c r="B856" s="6" t="s">
        <v>12</v>
      </c>
      <c r="C856" s="7">
        <v>12.56</v>
      </c>
      <c r="D856" s="7">
        <v>6.2</v>
      </c>
      <c r="E856" s="8">
        <v>2300</v>
      </c>
      <c r="F856" s="6">
        <v>1600</v>
      </c>
      <c r="G856" s="6">
        <v>4000</v>
      </c>
      <c r="H856" s="9">
        <f t="shared" si="61"/>
        <v>7900</v>
      </c>
      <c r="I856" s="9">
        <v>0</v>
      </c>
      <c r="J856" s="9">
        <v>7900</v>
      </c>
      <c r="K856" s="9">
        <v>7607</v>
      </c>
    </row>
    <row r="857" spans="1:11" ht="15.75">
      <c r="A857" s="5">
        <v>44955</v>
      </c>
      <c r="B857" s="6" t="s">
        <v>12</v>
      </c>
      <c r="C857" s="7">
        <v>12.53</v>
      </c>
      <c r="D857" s="7">
        <v>6.1</v>
      </c>
      <c r="E857" s="8">
        <v>2300</v>
      </c>
      <c r="F857" s="6">
        <v>1500</v>
      </c>
      <c r="G857" s="6">
        <v>4000</v>
      </c>
      <c r="H857" s="9">
        <f t="shared" si="61"/>
        <v>7800</v>
      </c>
      <c r="I857" s="9">
        <v>0</v>
      </c>
      <c r="J857" s="9">
        <v>7800</v>
      </c>
      <c r="K857" s="9">
        <v>7579</v>
      </c>
    </row>
    <row r="858" spans="1:11" ht="15.75">
      <c r="A858" s="5">
        <v>44956</v>
      </c>
      <c r="B858" s="6" t="s">
        <v>12</v>
      </c>
      <c r="C858" s="7">
        <v>12.51</v>
      </c>
      <c r="D858" s="7">
        <v>6.05</v>
      </c>
      <c r="E858" s="8">
        <v>2300</v>
      </c>
      <c r="F858" s="6">
        <v>1500</v>
      </c>
      <c r="G858" s="6">
        <v>4000</v>
      </c>
      <c r="H858" s="9">
        <f t="shared" si="61"/>
        <v>7800</v>
      </c>
      <c r="I858" s="9">
        <v>0</v>
      </c>
      <c r="J858" s="9">
        <v>7800</v>
      </c>
      <c r="K858" s="9">
        <v>7654</v>
      </c>
    </row>
    <row r="859" spans="1:11" ht="15.75">
      <c r="A859" s="5">
        <v>44957</v>
      </c>
      <c r="B859" s="6" t="s">
        <v>12</v>
      </c>
      <c r="C859" s="7">
        <v>12.64</v>
      </c>
      <c r="D859" s="7">
        <v>6.45</v>
      </c>
      <c r="E859" s="8">
        <v>1760</v>
      </c>
      <c r="F859" s="6">
        <v>1145</v>
      </c>
      <c r="G859" s="6">
        <v>3065</v>
      </c>
      <c r="H859" s="9">
        <f t="shared" si="61"/>
        <v>5970</v>
      </c>
      <c r="I859" s="9">
        <v>0</v>
      </c>
      <c r="J859" s="9">
        <v>5970</v>
      </c>
      <c r="K859" s="9">
        <v>6924</v>
      </c>
    </row>
    <row r="860" spans="1:11" ht="15.75">
      <c r="A860" s="2" t="s">
        <v>13</v>
      </c>
      <c r="B860" s="2"/>
      <c r="C860" s="2"/>
      <c r="D860" s="2"/>
      <c r="E860" s="11">
        <f t="shared" ref="E860:K860" si="62">SUM(E829:E859)</f>
        <v>78540</v>
      </c>
      <c r="F860" s="11">
        <f t="shared" si="62"/>
        <v>53275</v>
      </c>
      <c r="G860" s="11">
        <f t="shared" si="62"/>
        <v>136905</v>
      </c>
      <c r="H860" s="11">
        <f t="shared" si="62"/>
        <v>268720</v>
      </c>
      <c r="I860" s="11">
        <f t="shared" si="62"/>
        <v>0</v>
      </c>
      <c r="J860" s="11">
        <f t="shared" si="62"/>
        <v>268720</v>
      </c>
      <c r="K860" s="11">
        <f t="shared" si="62"/>
        <v>259844</v>
      </c>
    </row>
    <row r="861" spans="1:11" ht="15.75">
      <c r="A861" s="12"/>
      <c r="B861" s="2"/>
      <c r="C861" s="2"/>
      <c r="D861" s="2"/>
      <c r="E861" s="13">
        <f t="shared" ref="E861:K861" si="63">SUM(E860/11575)</f>
        <v>6.7853131749460047</v>
      </c>
      <c r="F861" s="13">
        <f t="shared" si="63"/>
        <v>4.6025917926565878</v>
      </c>
      <c r="G861" s="13">
        <f t="shared" si="63"/>
        <v>11.827645788336934</v>
      </c>
      <c r="H861" s="13">
        <f t="shared" si="63"/>
        <v>23.215550755939525</v>
      </c>
      <c r="I861" s="13">
        <f t="shared" si="63"/>
        <v>0</v>
      </c>
      <c r="J861" s="13">
        <f t="shared" si="63"/>
        <v>23.215550755939525</v>
      </c>
      <c r="K861" s="13">
        <f t="shared" si="63"/>
        <v>22.448725701943843</v>
      </c>
    </row>
    <row r="862" spans="1:11" ht="15.75">
      <c r="A862" s="1" t="s">
        <v>44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47.25">
      <c r="A863" s="2" t="s">
        <v>1</v>
      </c>
      <c r="B863" s="2" t="s">
        <v>2</v>
      </c>
      <c r="C863" s="3" t="s">
        <v>18</v>
      </c>
      <c r="D863" s="3" t="s">
        <v>4</v>
      </c>
      <c r="E863" s="3" t="s">
        <v>5</v>
      </c>
      <c r="F863" s="3" t="s">
        <v>6</v>
      </c>
      <c r="G863" s="3" t="s">
        <v>7</v>
      </c>
      <c r="H863" s="3" t="s">
        <v>8</v>
      </c>
      <c r="I863" s="3" t="s">
        <v>9</v>
      </c>
      <c r="J863" s="3" t="s">
        <v>19</v>
      </c>
      <c r="K863" s="4" t="s">
        <v>11</v>
      </c>
    </row>
    <row r="864" spans="1:11" ht="15.75">
      <c r="A864" s="5">
        <v>44958</v>
      </c>
      <c r="B864" s="6" t="s">
        <v>12</v>
      </c>
      <c r="C864" s="7">
        <v>12.86</v>
      </c>
      <c r="D864" s="7">
        <v>7.2</v>
      </c>
      <c r="E864" s="8">
        <v>1760</v>
      </c>
      <c r="F864" s="6">
        <v>1145</v>
      </c>
      <c r="G864" s="8">
        <v>3065</v>
      </c>
      <c r="H864" s="14">
        <f>E864+F864+G864</f>
        <v>5970</v>
      </c>
      <c r="I864" s="9">
        <v>0</v>
      </c>
      <c r="J864" s="9">
        <v>5970</v>
      </c>
      <c r="K864" s="10">
        <v>7600</v>
      </c>
    </row>
    <row r="865" spans="1:11" ht="15.75">
      <c r="A865" s="5">
        <v>44959</v>
      </c>
      <c r="B865" s="6" t="s">
        <v>12</v>
      </c>
      <c r="C865" s="7">
        <v>13.06</v>
      </c>
      <c r="D865" s="7">
        <v>7.85</v>
      </c>
      <c r="E865" s="8">
        <v>1760</v>
      </c>
      <c r="F865" s="6">
        <v>1145</v>
      </c>
      <c r="G865" s="8">
        <v>3065</v>
      </c>
      <c r="H865" s="9">
        <f t="shared" ref="H865:H891" si="64">E865+F865+G865</f>
        <v>5970</v>
      </c>
      <c r="I865" s="9">
        <v>0</v>
      </c>
      <c r="J865" s="9">
        <v>5970</v>
      </c>
      <c r="K865" s="10">
        <v>7464</v>
      </c>
    </row>
    <row r="866" spans="1:11" ht="15.75">
      <c r="A866" s="5">
        <v>44960</v>
      </c>
      <c r="B866" s="6" t="s">
        <v>12</v>
      </c>
      <c r="C866" s="7">
        <v>13.23</v>
      </c>
      <c r="D866" s="7">
        <v>8.4</v>
      </c>
      <c r="E866" s="8">
        <v>1760</v>
      </c>
      <c r="F866" s="6">
        <v>1145</v>
      </c>
      <c r="G866" s="8">
        <v>3065</v>
      </c>
      <c r="H866" s="9">
        <f t="shared" si="64"/>
        <v>5970</v>
      </c>
      <c r="I866" s="9">
        <v>0</v>
      </c>
      <c r="J866" s="9">
        <v>5970</v>
      </c>
      <c r="K866" s="10">
        <v>7261</v>
      </c>
    </row>
    <row r="867" spans="1:11" ht="15.75">
      <c r="A867" s="5">
        <v>44961</v>
      </c>
      <c r="B867" s="6" t="s">
        <v>12</v>
      </c>
      <c r="C867" s="7">
        <v>13.35</v>
      </c>
      <c r="D867" s="7">
        <v>8.8000000000000007</v>
      </c>
      <c r="E867" s="8">
        <v>1890</v>
      </c>
      <c r="F867" s="6">
        <v>1230</v>
      </c>
      <c r="G867" s="8">
        <v>3290</v>
      </c>
      <c r="H867" s="9">
        <f t="shared" si="64"/>
        <v>6410</v>
      </c>
      <c r="I867" s="9">
        <v>0</v>
      </c>
      <c r="J867" s="9">
        <v>6410</v>
      </c>
      <c r="K867" s="10">
        <v>7321</v>
      </c>
    </row>
    <row r="868" spans="1:11" ht="15.75">
      <c r="A868" s="5">
        <v>44962</v>
      </c>
      <c r="B868" s="6" t="s">
        <v>12</v>
      </c>
      <c r="C868" s="7">
        <v>13.41</v>
      </c>
      <c r="D868" s="7">
        <v>9</v>
      </c>
      <c r="E868" s="8">
        <v>1890</v>
      </c>
      <c r="F868" s="6">
        <v>1230</v>
      </c>
      <c r="G868" s="8">
        <v>3290</v>
      </c>
      <c r="H868" s="9">
        <f t="shared" si="64"/>
        <v>6410</v>
      </c>
      <c r="I868" s="9">
        <v>0</v>
      </c>
      <c r="J868" s="9">
        <v>6410</v>
      </c>
      <c r="K868" s="9">
        <v>6874</v>
      </c>
    </row>
    <row r="869" spans="1:11" ht="15.75">
      <c r="A869" s="5">
        <v>44963</v>
      </c>
      <c r="B869" s="6" t="s">
        <v>12</v>
      </c>
      <c r="C869" s="7">
        <v>12.46</v>
      </c>
      <c r="D869" s="7">
        <v>9.15</v>
      </c>
      <c r="E869" s="8">
        <v>2030</v>
      </c>
      <c r="F869" s="6">
        <v>1325</v>
      </c>
      <c r="G869" s="8">
        <v>3540</v>
      </c>
      <c r="H869" s="9">
        <f t="shared" si="64"/>
        <v>6895</v>
      </c>
      <c r="I869" s="9">
        <v>0</v>
      </c>
      <c r="J869" s="9">
        <v>6895</v>
      </c>
      <c r="K869" s="10">
        <v>7280</v>
      </c>
    </row>
    <row r="870" spans="1:11" ht="15.75">
      <c r="A870" s="5">
        <v>44964</v>
      </c>
      <c r="B870" s="6" t="s">
        <v>12</v>
      </c>
      <c r="C870" s="7">
        <v>13.53</v>
      </c>
      <c r="D870" s="7">
        <v>9.4</v>
      </c>
      <c r="E870" s="8">
        <v>2030</v>
      </c>
      <c r="F870" s="6">
        <v>1325</v>
      </c>
      <c r="G870" s="8">
        <v>3540</v>
      </c>
      <c r="H870" s="9">
        <f t="shared" si="64"/>
        <v>6895</v>
      </c>
      <c r="I870" s="9">
        <v>0</v>
      </c>
      <c r="J870" s="9">
        <v>6895</v>
      </c>
      <c r="K870" s="10">
        <v>7436</v>
      </c>
    </row>
    <row r="871" spans="1:11" ht="15.75">
      <c r="A871" s="5">
        <v>44965</v>
      </c>
      <c r="B871" s="6" t="s">
        <v>12</v>
      </c>
      <c r="C871" s="7">
        <v>13.55</v>
      </c>
      <c r="D871" s="7">
        <v>9.4499999999999993</v>
      </c>
      <c r="E871" s="8">
        <v>2030</v>
      </c>
      <c r="F871" s="6">
        <v>1325</v>
      </c>
      <c r="G871" s="8">
        <v>3540</v>
      </c>
      <c r="H871" s="9">
        <f t="shared" si="64"/>
        <v>6895</v>
      </c>
      <c r="I871" s="9">
        <v>0</v>
      </c>
      <c r="J871" s="9">
        <v>6895</v>
      </c>
      <c r="K871" s="10">
        <v>7049</v>
      </c>
    </row>
    <row r="872" spans="1:11" ht="15.75">
      <c r="A872" s="5">
        <v>44966</v>
      </c>
      <c r="B872" s="6" t="s">
        <v>12</v>
      </c>
      <c r="C872" s="7">
        <v>13.58</v>
      </c>
      <c r="D872" s="7">
        <v>9.5500000000000007</v>
      </c>
      <c r="E872" s="8">
        <v>2030</v>
      </c>
      <c r="F872" s="6">
        <v>1325</v>
      </c>
      <c r="G872" s="8">
        <v>3540</v>
      </c>
      <c r="H872" s="9">
        <f t="shared" si="64"/>
        <v>6895</v>
      </c>
      <c r="I872" s="9">
        <v>0</v>
      </c>
      <c r="J872" s="9">
        <v>6895</v>
      </c>
      <c r="K872" s="10">
        <v>7127</v>
      </c>
    </row>
    <row r="873" spans="1:11" ht="15.75">
      <c r="A873" s="5">
        <v>44967</v>
      </c>
      <c r="B873" s="6" t="s">
        <v>12</v>
      </c>
      <c r="C873" s="7">
        <v>13.58</v>
      </c>
      <c r="D873" s="7">
        <v>9.5500000000000007</v>
      </c>
      <c r="E873" s="8">
        <v>2030</v>
      </c>
      <c r="F873" s="6">
        <v>1325</v>
      </c>
      <c r="G873" s="8">
        <v>3540</v>
      </c>
      <c r="H873" s="9">
        <f t="shared" si="64"/>
        <v>6895</v>
      </c>
      <c r="I873" s="9">
        <v>0</v>
      </c>
      <c r="J873" s="10">
        <v>6895</v>
      </c>
      <c r="K873" s="16">
        <v>6895</v>
      </c>
    </row>
    <row r="874" spans="1:11" ht="15.75">
      <c r="A874" s="5">
        <v>44968</v>
      </c>
      <c r="B874" s="6" t="s">
        <v>12</v>
      </c>
      <c r="C874" s="7">
        <v>13.55</v>
      </c>
      <c r="D874" s="7">
        <v>9.4499999999999993</v>
      </c>
      <c r="E874" s="8">
        <v>2030</v>
      </c>
      <c r="F874" s="6">
        <v>1325</v>
      </c>
      <c r="G874" s="8">
        <v>3540</v>
      </c>
      <c r="H874" s="9">
        <f t="shared" si="64"/>
        <v>6895</v>
      </c>
      <c r="I874" s="9">
        <v>0</v>
      </c>
      <c r="J874" s="9">
        <v>6895</v>
      </c>
      <c r="K874" s="10">
        <v>6663</v>
      </c>
    </row>
    <row r="875" spans="1:11" ht="15.75">
      <c r="A875" s="5">
        <v>44969</v>
      </c>
      <c r="B875" s="6" t="s">
        <v>12</v>
      </c>
      <c r="C875" s="7">
        <v>13.53</v>
      </c>
      <c r="D875" s="7">
        <v>9.3000000000000007</v>
      </c>
      <c r="E875" s="8">
        <v>2030</v>
      </c>
      <c r="F875" s="8">
        <v>1325</v>
      </c>
      <c r="G875" s="6">
        <v>3540</v>
      </c>
      <c r="H875" s="9">
        <f t="shared" si="64"/>
        <v>6895</v>
      </c>
      <c r="I875" s="9">
        <v>0</v>
      </c>
      <c r="J875" s="9">
        <v>6895</v>
      </c>
      <c r="K875" s="10">
        <v>6510</v>
      </c>
    </row>
    <row r="876" spans="1:11" ht="15.75">
      <c r="A876" s="5">
        <v>44970</v>
      </c>
      <c r="B876" s="6" t="s">
        <v>12</v>
      </c>
      <c r="C876" s="7">
        <v>13.44</v>
      </c>
      <c r="D876" s="7">
        <v>9.1</v>
      </c>
      <c r="E876" s="8">
        <v>2030</v>
      </c>
      <c r="F876" s="6">
        <v>1325</v>
      </c>
      <c r="G876" s="8">
        <v>3540</v>
      </c>
      <c r="H876" s="9">
        <f t="shared" si="64"/>
        <v>6895</v>
      </c>
      <c r="I876" s="9">
        <v>0</v>
      </c>
      <c r="J876" s="9">
        <v>6895</v>
      </c>
      <c r="K876" s="10">
        <v>6432</v>
      </c>
    </row>
    <row r="877" spans="1:11" ht="15.75">
      <c r="A877" s="5">
        <v>44971</v>
      </c>
      <c r="B877" s="6" t="s">
        <v>12</v>
      </c>
      <c r="C877" s="7">
        <v>13.37</v>
      </c>
      <c r="D877" s="7">
        <v>8.85</v>
      </c>
      <c r="E877" s="8">
        <v>2030</v>
      </c>
      <c r="F877" s="6">
        <v>1325</v>
      </c>
      <c r="G877" s="6">
        <v>3540</v>
      </c>
      <c r="H877" s="9">
        <f t="shared" si="64"/>
        <v>6895</v>
      </c>
      <c r="I877" s="9">
        <v>0</v>
      </c>
      <c r="J877" s="9">
        <v>6895</v>
      </c>
      <c r="K877" s="10">
        <v>6354</v>
      </c>
    </row>
    <row r="878" spans="1:11" ht="15.75">
      <c r="A878" s="5">
        <v>44972</v>
      </c>
      <c r="B878" s="6" t="s">
        <v>12</v>
      </c>
      <c r="C878" s="7">
        <v>13.28</v>
      </c>
      <c r="D878" s="7">
        <v>8.5500000000000007</v>
      </c>
      <c r="E878" s="8">
        <v>2030</v>
      </c>
      <c r="F878" s="6">
        <v>1325</v>
      </c>
      <c r="G878" s="6">
        <v>3540</v>
      </c>
      <c r="H878" s="9">
        <f t="shared" si="64"/>
        <v>6895</v>
      </c>
      <c r="I878" s="9">
        <v>0</v>
      </c>
      <c r="J878" s="9">
        <v>6895</v>
      </c>
      <c r="K878" s="10">
        <v>6209</v>
      </c>
    </row>
    <row r="879" spans="1:11" ht="15.75">
      <c r="A879" s="5">
        <v>44973</v>
      </c>
      <c r="B879" s="6" t="s">
        <v>12</v>
      </c>
      <c r="C879" s="7">
        <v>13.21</v>
      </c>
      <c r="D879" s="7">
        <v>8.35</v>
      </c>
      <c r="E879" s="8">
        <v>2030</v>
      </c>
      <c r="F879" s="6">
        <v>1325</v>
      </c>
      <c r="G879" s="6">
        <v>3540</v>
      </c>
      <c r="H879" s="9">
        <f t="shared" si="64"/>
        <v>6895</v>
      </c>
      <c r="I879" s="9">
        <v>0</v>
      </c>
      <c r="J879" s="9">
        <v>6895</v>
      </c>
      <c r="K879" s="10">
        <v>6364</v>
      </c>
    </row>
    <row r="880" spans="1:11" ht="15.75">
      <c r="A880" s="5">
        <v>44974</v>
      </c>
      <c r="B880" s="6" t="s">
        <v>12</v>
      </c>
      <c r="C880" s="7">
        <v>13.17</v>
      </c>
      <c r="D880" s="7">
        <v>8.1999999999999993</v>
      </c>
      <c r="E880" s="8">
        <v>2030</v>
      </c>
      <c r="F880" s="6">
        <v>1325</v>
      </c>
      <c r="G880" s="6">
        <v>3540</v>
      </c>
      <c r="H880" s="9">
        <f t="shared" si="64"/>
        <v>6895</v>
      </c>
      <c r="I880" s="9">
        <v>0</v>
      </c>
      <c r="J880" s="9">
        <v>6895</v>
      </c>
      <c r="K880" s="10">
        <v>6591</v>
      </c>
    </row>
    <row r="881" spans="1:11" ht="15.75">
      <c r="A881" s="5">
        <v>44975</v>
      </c>
      <c r="B881" s="6" t="s">
        <v>12</v>
      </c>
      <c r="C881" s="7">
        <v>13.09</v>
      </c>
      <c r="D881" s="7">
        <v>7.95</v>
      </c>
      <c r="E881" s="8">
        <v>2030</v>
      </c>
      <c r="F881" s="6">
        <v>1325</v>
      </c>
      <c r="G881" s="6">
        <v>3540</v>
      </c>
      <c r="H881" s="9">
        <f t="shared" si="64"/>
        <v>6895</v>
      </c>
      <c r="I881" s="9">
        <v>0</v>
      </c>
      <c r="J881" s="9">
        <v>6895</v>
      </c>
      <c r="K881" s="10">
        <v>6287</v>
      </c>
    </row>
    <row r="882" spans="1:11" ht="15.75">
      <c r="A882" s="5">
        <v>44976</v>
      </c>
      <c r="B882" s="6" t="s">
        <v>12</v>
      </c>
      <c r="C882" s="7">
        <v>13.02</v>
      </c>
      <c r="D882" s="7">
        <v>7.7</v>
      </c>
      <c r="E882" s="8">
        <v>2030</v>
      </c>
      <c r="F882" s="6">
        <v>1325</v>
      </c>
      <c r="G882" s="6">
        <v>3540</v>
      </c>
      <c r="H882" s="9">
        <f t="shared" si="64"/>
        <v>6895</v>
      </c>
      <c r="I882" s="9">
        <v>0</v>
      </c>
      <c r="J882" s="9">
        <v>6895</v>
      </c>
      <c r="K882" s="10">
        <v>6367</v>
      </c>
    </row>
    <row r="883" spans="1:11" ht="15.75">
      <c r="A883" s="5">
        <v>44977</v>
      </c>
      <c r="B883" s="6" t="s">
        <v>12</v>
      </c>
      <c r="C883" s="7">
        <v>12.99</v>
      </c>
      <c r="D883" s="7">
        <v>7.6</v>
      </c>
      <c r="E883" s="8">
        <v>2030</v>
      </c>
      <c r="F883" s="6">
        <v>1325</v>
      </c>
      <c r="G883" s="6">
        <v>3540</v>
      </c>
      <c r="H883" s="9">
        <f t="shared" si="64"/>
        <v>6895</v>
      </c>
      <c r="I883" s="9">
        <v>0</v>
      </c>
      <c r="J883" s="9">
        <v>6895</v>
      </c>
      <c r="K883" s="10">
        <v>6672</v>
      </c>
    </row>
    <row r="884" spans="1:11" ht="15.75">
      <c r="A884" s="5">
        <v>44978</v>
      </c>
      <c r="B884" s="6" t="s">
        <v>12</v>
      </c>
      <c r="C884" s="7">
        <v>12.99</v>
      </c>
      <c r="D884" s="7">
        <v>7.6</v>
      </c>
      <c r="E884" s="8">
        <v>2030</v>
      </c>
      <c r="F884" s="6">
        <v>1325</v>
      </c>
      <c r="G884" s="6">
        <v>3540</v>
      </c>
      <c r="H884" s="9">
        <f t="shared" si="64"/>
        <v>6895</v>
      </c>
      <c r="I884" s="9">
        <v>0</v>
      </c>
      <c r="J884" s="9">
        <v>6895</v>
      </c>
      <c r="K884" s="10">
        <v>6895</v>
      </c>
    </row>
    <row r="885" spans="1:11" ht="15.75">
      <c r="A885" s="5">
        <v>44979</v>
      </c>
      <c r="B885" s="6" t="s">
        <v>12</v>
      </c>
      <c r="C885" s="7">
        <v>13.05</v>
      </c>
      <c r="D885" s="7">
        <v>7.8</v>
      </c>
      <c r="E885" s="8">
        <v>2030</v>
      </c>
      <c r="F885" s="6">
        <v>1325</v>
      </c>
      <c r="G885" s="6">
        <v>3540</v>
      </c>
      <c r="H885" s="9">
        <f t="shared" si="64"/>
        <v>6895</v>
      </c>
      <c r="I885" s="9">
        <v>0</v>
      </c>
      <c r="J885" s="9">
        <v>6895</v>
      </c>
      <c r="K885" s="10">
        <v>7343</v>
      </c>
    </row>
    <row r="886" spans="1:11" ht="15.75">
      <c r="A886" s="5">
        <v>44980</v>
      </c>
      <c r="B886" s="6" t="s">
        <v>12</v>
      </c>
      <c r="C886" s="7">
        <v>13.12</v>
      </c>
      <c r="D886" s="7">
        <v>8.0500000000000007</v>
      </c>
      <c r="E886" s="8">
        <v>2030</v>
      </c>
      <c r="F886" s="6">
        <v>1325</v>
      </c>
      <c r="G886" s="6">
        <v>3540</v>
      </c>
      <c r="H886" s="9">
        <f t="shared" si="64"/>
        <v>6895</v>
      </c>
      <c r="I886" s="9">
        <v>0</v>
      </c>
      <c r="J886" s="9">
        <v>6895</v>
      </c>
      <c r="K886" s="10">
        <v>7426</v>
      </c>
    </row>
    <row r="887" spans="1:11" ht="15.75">
      <c r="A887" s="5">
        <v>44981</v>
      </c>
      <c r="B887" s="6" t="s">
        <v>12</v>
      </c>
      <c r="C887" s="7">
        <v>13.17</v>
      </c>
      <c r="D887" s="7">
        <v>8.1999999999999993</v>
      </c>
      <c r="E887" s="8">
        <v>2030</v>
      </c>
      <c r="F887" s="6">
        <v>1325</v>
      </c>
      <c r="G887" s="6">
        <v>3540</v>
      </c>
      <c r="H887" s="9">
        <f t="shared" si="64"/>
        <v>6895</v>
      </c>
      <c r="I887" s="9">
        <v>0</v>
      </c>
      <c r="J887" s="9">
        <v>6895</v>
      </c>
      <c r="K887" s="10">
        <v>7275</v>
      </c>
    </row>
    <row r="888" spans="1:11" ht="15.75">
      <c r="A888" s="5">
        <v>44982</v>
      </c>
      <c r="B888" s="6" t="s">
        <v>12</v>
      </c>
      <c r="C888" s="7">
        <v>13.18</v>
      </c>
      <c r="D888" s="7">
        <v>8.25</v>
      </c>
      <c r="E888" s="8">
        <v>2030</v>
      </c>
      <c r="F888" s="6">
        <v>1325</v>
      </c>
      <c r="G888" s="6">
        <v>3540</v>
      </c>
      <c r="H888" s="9">
        <f t="shared" si="64"/>
        <v>6895</v>
      </c>
      <c r="I888" s="9">
        <v>0</v>
      </c>
      <c r="J888" s="9">
        <v>6895</v>
      </c>
      <c r="K888" s="10">
        <v>6971</v>
      </c>
    </row>
    <row r="889" spans="1:11" ht="15.75">
      <c r="A889" s="5">
        <v>44983</v>
      </c>
      <c r="B889" s="6" t="s">
        <v>12</v>
      </c>
      <c r="C889" s="7">
        <v>13.17</v>
      </c>
      <c r="D889" s="7">
        <v>8.1999999999999993</v>
      </c>
      <c r="E889" s="8">
        <v>2130</v>
      </c>
      <c r="F889" s="6">
        <v>1425</v>
      </c>
      <c r="G889" s="6">
        <v>3740</v>
      </c>
      <c r="H889" s="9">
        <f t="shared" si="64"/>
        <v>7295</v>
      </c>
      <c r="I889" s="9">
        <v>0</v>
      </c>
      <c r="J889" s="9">
        <v>7295</v>
      </c>
      <c r="K889" s="10">
        <v>7219</v>
      </c>
    </row>
    <row r="890" spans="1:11" ht="15.75">
      <c r="A890" s="5">
        <v>44984</v>
      </c>
      <c r="B890" s="6" t="s">
        <v>12</v>
      </c>
      <c r="C890" s="7">
        <v>13.14</v>
      </c>
      <c r="D890" s="7">
        <v>8.1</v>
      </c>
      <c r="E890" s="8">
        <v>2130</v>
      </c>
      <c r="F890" s="6">
        <v>1425</v>
      </c>
      <c r="G890" s="6">
        <v>4000</v>
      </c>
      <c r="H890" s="9">
        <f t="shared" si="64"/>
        <v>7555</v>
      </c>
      <c r="I890" s="9">
        <v>0</v>
      </c>
      <c r="J890" s="9">
        <v>7555</v>
      </c>
      <c r="K890" s="9">
        <v>7328</v>
      </c>
    </row>
    <row r="891" spans="1:11" ht="15.75">
      <c r="A891" s="5">
        <v>44985</v>
      </c>
      <c r="B891" s="6" t="s">
        <v>12</v>
      </c>
      <c r="C891" s="7">
        <v>13.05</v>
      </c>
      <c r="D891" s="7">
        <v>7.8</v>
      </c>
      <c r="E891" s="8">
        <v>2130</v>
      </c>
      <c r="F891" s="6">
        <v>1425</v>
      </c>
      <c r="G891" s="6">
        <v>4000</v>
      </c>
      <c r="H891" s="9">
        <f t="shared" si="64"/>
        <v>7555</v>
      </c>
      <c r="I891" s="9">
        <v>0</v>
      </c>
      <c r="J891" s="9">
        <v>7555</v>
      </c>
      <c r="K891" s="9">
        <v>6871</v>
      </c>
    </row>
    <row r="892" spans="1:11" ht="15.75">
      <c r="A892" s="2" t="s">
        <v>13</v>
      </c>
      <c r="B892" s="2"/>
      <c r="C892" s="2"/>
      <c r="D892" s="2"/>
      <c r="E892" s="11">
        <f t="shared" ref="E892:K892" si="65">SUM(E864:E891)</f>
        <v>56050</v>
      </c>
      <c r="F892" s="11">
        <f t="shared" si="65"/>
        <v>36670</v>
      </c>
      <c r="G892" s="11">
        <f t="shared" si="65"/>
        <v>98315</v>
      </c>
      <c r="H892" s="11">
        <f t="shared" si="65"/>
        <v>191035</v>
      </c>
      <c r="I892" s="11">
        <f t="shared" si="65"/>
        <v>0</v>
      </c>
      <c r="J892" s="11">
        <f t="shared" si="65"/>
        <v>191035</v>
      </c>
      <c r="K892" s="11">
        <f t="shared" si="65"/>
        <v>194084</v>
      </c>
    </row>
    <row r="893" spans="1:11" ht="15.75">
      <c r="A893" s="12"/>
      <c r="B893" s="2"/>
      <c r="C893" s="2"/>
      <c r="D893" s="2"/>
      <c r="E893" s="13">
        <f t="shared" ref="E893:K893" si="66">SUM(E892/11575)</f>
        <v>4.842332613390929</v>
      </c>
      <c r="F893" s="13">
        <f t="shared" si="66"/>
        <v>3.1680345572354214</v>
      </c>
      <c r="G893" s="13">
        <f t="shared" si="66"/>
        <v>8.4937365010799137</v>
      </c>
      <c r="H893" s="13">
        <f t="shared" si="66"/>
        <v>16.504103671706265</v>
      </c>
      <c r="I893" s="13">
        <f t="shared" si="66"/>
        <v>0</v>
      </c>
      <c r="J893" s="13">
        <f t="shared" si="66"/>
        <v>16.504103671706265</v>
      </c>
      <c r="K893" s="13">
        <f t="shared" si="66"/>
        <v>16.767516198704104</v>
      </c>
    </row>
    <row r="894" spans="1:11" ht="15.75">
      <c r="A894" s="1" t="s">
        <v>45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47.25">
      <c r="A895" s="2" t="s">
        <v>1</v>
      </c>
      <c r="B895" s="2" t="s">
        <v>2</v>
      </c>
      <c r="C895" s="3" t="s">
        <v>18</v>
      </c>
      <c r="D895" s="3" t="s">
        <v>4</v>
      </c>
      <c r="E895" s="3" t="s">
        <v>5</v>
      </c>
      <c r="F895" s="3" t="s">
        <v>6</v>
      </c>
      <c r="G895" s="3" t="s">
        <v>7</v>
      </c>
      <c r="H895" s="3" t="s">
        <v>8</v>
      </c>
      <c r="I895" s="3" t="s">
        <v>9</v>
      </c>
      <c r="J895" s="3" t="s">
        <v>19</v>
      </c>
      <c r="K895" s="4" t="s">
        <v>11</v>
      </c>
    </row>
    <row r="896" spans="1:11" ht="15.75">
      <c r="A896" s="5">
        <v>44986</v>
      </c>
      <c r="B896" s="6" t="s">
        <v>12</v>
      </c>
      <c r="C896" s="7">
        <v>12.93</v>
      </c>
      <c r="D896" s="7">
        <v>7.4</v>
      </c>
      <c r="E896" s="8">
        <v>2130</v>
      </c>
      <c r="F896" s="8">
        <v>1425</v>
      </c>
      <c r="G896" s="8">
        <v>4000</v>
      </c>
      <c r="H896" s="14">
        <f>E896+F896+G896</f>
        <v>7555</v>
      </c>
      <c r="I896" s="9">
        <v>0</v>
      </c>
      <c r="J896" s="9">
        <v>7555</v>
      </c>
      <c r="K896" s="10">
        <v>6659</v>
      </c>
    </row>
    <row r="897" spans="1:11" ht="15.75">
      <c r="A897" s="5">
        <v>44987</v>
      </c>
      <c r="B897" s="6" t="s">
        <v>12</v>
      </c>
      <c r="C897" s="7">
        <v>12.85</v>
      </c>
      <c r="D897" s="7">
        <v>7.15</v>
      </c>
      <c r="E897" s="8">
        <v>2170</v>
      </c>
      <c r="F897" s="6">
        <v>1600</v>
      </c>
      <c r="G897" s="8">
        <v>3770</v>
      </c>
      <c r="H897" s="9">
        <f t="shared" ref="H897:H926" si="67">E897+F897+G897</f>
        <v>7540</v>
      </c>
      <c r="I897" s="9">
        <v>0</v>
      </c>
      <c r="J897" s="9">
        <v>7540</v>
      </c>
      <c r="K897" s="10">
        <v>6943</v>
      </c>
    </row>
    <row r="898" spans="1:11" ht="15.75">
      <c r="A898" s="5">
        <v>44988</v>
      </c>
      <c r="B898" s="6" t="s">
        <v>12</v>
      </c>
      <c r="C898" s="7">
        <v>12.82</v>
      </c>
      <c r="D898" s="7">
        <v>7.05</v>
      </c>
      <c r="E898" s="8">
        <v>2170</v>
      </c>
      <c r="F898" s="6">
        <v>1600</v>
      </c>
      <c r="G898" s="8">
        <v>3770</v>
      </c>
      <c r="H898" s="9">
        <f t="shared" si="67"/>
        <v>7540</v>
      </c>
      <c r="I898" s="9">
        <v>0</v>
      </c>
      <c r="J898" s="9">
        <v>7540</v>
      </c>
      <c r="K898" s="10">
        <v>7317</v>
      </c>
    </row>
    <row r="899" spans="1:11" ht="15.75">
      <c r="A899" s="5">
        <v>44989</v>
      </c>
      <c r="B899" s="6" t="s">
        <v>12</v>
      </c>
      <c r="C899" s="7">
        <v>12.83</v>
      </c>
      <c r="D899" s="7">
        <v>7.1</v>
      </c>
      <c r="E899" s="8">
        <v>2170</v>
      </c>
      <c r="F899" s="6">
        <v>1600</v>
      </c>
      <c r="G899" s="8">
        <v>3770</v>
      </c>
      <c r="H899" s="9">
        <f t="shared" si="67"/>
        <v>7540</v>
      </c>
      <c r="I899" s="9">
        <v>0</v>
      </c>
      <c r="J899" s="9">
        <v>7540</v>
      </c>
      <c r="K899" s="10">
        <v>7614</v>
      </c>
    </row>
    <row r="900" spans="1:11" ht="15.75">
      <c r="A900" s="5">
        <v>44990</v>
      </c>
      <c r="B900" s="6" t="s">
        <v>12</v>
      </c>
      <c r="C900" s="7">
        <v>12.82</v>
      </c>
      <c r="D900" s="7">
        <v>7.05</v>
      </c>
      <c r="E900" s="8">
        <v>2370</v>
      </c>
      <c r="F900" s="6">
        <v>1410</v>
      </c>
      <c r="G900" s="8">
        <v>3770</v>
      </c>
      <c r="H900" s="9">
        <f t="shared" si="67"/>
        <v>7550</v>
      </c>
      <c r="I900" s="9">
        <v>0</v>
      </c>
      <c r="J900" s="9">
        <v>7550</v>
      </c>
      <c r="K900" s="9">
        <v>7476</v>
      </c>
    </row>
    <row r="901" spans="1:11" ht="15.75">
      <c r="A901" s="5">
        <v>44991</v>
      </c>
      <c r="B901" s="6" t="s">
        <v>12</v>
      </c>
      <c r="C901" s="7">
        <v>12.8</v>
      </c>
      <c r="D901" s="7">
        <v>7</v>
      </c>
      <c r="E901" s="8">
        <v>2370</v>
      </c>
      <c r="F901" s="6">
        <v>1410</v>
      </c>
      <c r="G901" s="8">
        <v>3770</v>
      </c>
      <c r="H901" s="9">
        <f t="shared" si="67"/>
        <v>7550</v>
      </c>
      <c r="I901" s="9">
        <v>0</v>
      </c>
      <c r="J901" s="9">
        <v>7550</v>
      </c>
      <c r="K901" s="10">
        <v>7401</v>
      </c>
    </row>
    <row r="902" spans="1:11" ht="15.75">
      <c r="A902" s="5">
        <v>44992</v>
      </c>
      <c r="B902" s="6" t="s">
        <v>12</v>
      </c>
      <c r="C902" s="7">
        <v>12.76</v>
      </c>
      <c r="D902" s="7">
        <v>6.85</v>
      </c>
      <c r="E902" s="8">
        <v>2170</v>
      </c>
      <c r="F902" s="6">
        <v>1410</v>
      </c>
      <c r="G902" s="8">
        <v>3770</v>
      </c>
      <c r="H902" s="9">
        <f t="shared" si="67"/>
        <v>7350</v>
      </c>
      <c r="I902" s="9">
        <v>0</v>
      </c>
      <c r="J902" s="9">
        <v>7350</v>
      </c>
      <c r="K902" s="10">
        <v>7051</v>
      </c>
    </row>
    <row r="903" spans="1:11" ht="15.75">
      <c r="A903" s="5">
        <v>44993</v>
      </c>
      <c r="B903" s="6" t="s">
        <v>12</v>
      </c>
      <c r="C903" s="7">
        <v>12.71</v>
      </c>
      <c r="D903" s="7">
        <v>6.7</v>
      </c>
      <c r="E903" s="8">
        <v>2170</v>
      </c>
      <c r="F903" s="6">
        <v>1410</v>
      </c>
      <c r="G903" s="8">
        <v>3770</v>
      </c>
      <c r="H903" s="9">
        <f t="shared" si="67"/>
        <v>7350</v>
      </c>
      <c r="I903" s="9">
        <v>0</v>
      </c>
      <c r="J903" s="9">
        <v>7350</v>
      </c>
      <c r="K903" s="10">
        <v>6981</v>
      </c>
    </row>
    <row r="904" spans="1:11" ht="15.75">
      <c r="A904" s="5">
        <v>44994</v>
      </c>
      <c r="B904" s="6" t="s">
        <v>12</v>
      </c>
      <c r="C904" s="7">
        <v>12.65</v>
      </c>
      <c r="D904" s="7">
        <v>6.5</v>
      </c>
      <c r="E904" s="8">
        <v>2170</v>
      </c>
      <c r="F904" s="6">
        <v>1410</v>
      </c>
      <c r="G904" s="8">
        <v>3770</v>
      </c>
      <c r="H904" s="9">
        <f t="shared" si="67"/>
        <v>7350</v>
      </c>
      <c r="I904" s="9">
        <v>0</v>
      </c>
      <c r="J904" s="9">
        <v>7350</v>
      </c>
      <c r="K904" s="10">
        <v>6909</v>
      </c>
    </row>
    <row r="905" spans="1:11" ht="15.75">
      <c r="A905" s="5">
        <v>44995</v>
      </c>
      <c r="B905" s="6" t="s">
        <v>12</v>
      </c>
      <c r="C905" s="7">
        <v>12.57</v>
      </c>
      <c r="D905" s="7">
        <v>6.25</v>
      </c>
      <c r="E905" s="8">
        <v>2170</v>
      </c>
      <c r="F905" s="6">
        <v>1410</v>
      </c>
      <c r="G905" s="8">
        <v>3770</v>
      </c>
      <c r="H905" s="9">
        <f t="shared" si="67"/>
        <v>7350</v>
      </c>
      <c r="I905" s="9">
        <v>0</v>
      </c>
      <c r="J905" s="10">
        <v>7350</v>
      </c>
      <c r="K905" s="16">
        <v>6763</v>
      </c>
    </row>
    <row r="906" spans="1:11" ht="15.75">
      <c r="A906" s="5">
        <v>44996</v>
      </c>
      <c r="B906" s="6" t="s">
        <v>12</v>
      </c>
      <c r="C906" s="7">
        <v>12.5</v>
      </c>
      <c r="D906" s="7">
        <v>6</v>
      </c>
      <c r="E906" s="8">
        <v>2170</v>
      </c>
      <c r="F906" s="6">
        <v>1410</v>
      </c>
      <c r="G906" s="8">
        <v>3770</v>
      </c>
      <c r="H906" s="9">
        <f t="shared" si="67"/>
        <v>7350</v>
      </c>
      <c r="I906" s="9">
        <v>0</v>
      </c>
      <c r="J906" s="9">
        <v>7350</v>
      </c>
      <c r="K906" s="10">
        <v>6836</v>
      </c>
    </row>
    <row r="907" spans="1:11" ht="15.75">
      <c r="A907" s="5">
        <v>44997</v>
      </c>
      <c r="B907" s="6" t="s">
        <v>12</v>
      </c>
      <c r="C907" s="7">
        <v>12.42</v>
      </c>
      <c r="D907" s="7">
        <v>5.75</v>
      </c>
      <c r="E907" s="8">
        <v>2170</v>
      </c>
      <c r="F907" s="8">
        <v>1410</v>
      </c>
      <c r="G907" s="6">
        <v>3770</v>
      </c>
      <c r="H907" s="9">
        <f t="shared" si="67"/>
        <v>7350</v>
      </c>
      <c r="I907" s="9">
        <v>0</v>
      </c>
      <c r="J907" s="9">
        <v>7350</v>
      </c>
      <c r="K907" s="10">
        <v>6769</v>
      </c>
    </row>
    <row r="908" spans="1:11" ht="15.75">
      <c r="A908" s="5">
        <v>44998</v>
      </c>
      <c r="B908" s="6" t="s">
        <v>12</v>
      </c>
      <c r="C908" s="7">
        <v>12.35</v>
      </c>
      <c r="D908" s="7">
        <v>5.5</v>
      </c>
      <c r="E908" s="8">
        <v>2170</v>
      </c>
      <c r="F908" s="6">
        <v>1410</v>
      </c>
      <c r="G908" s="8">
        <v>3580</v>
      </c>
      <c r="H908" s="9">
        <f t="shared" si="67"/>
        <v>7160</v>
      </c>
      <c r="I908" s="9">
        <v>0</v>
      </c>
      <c r="J908" s="9">
        <v>7160</v>
      </c>
      <c r="K908" s="10">
        <v>6665</v>
      </c>
    </row>
    <row r="909" spans="1:11" ht="15.75">
      <c r="A909" s="5">
        <v>44999</v>
      </c>
      <c r="B909" s="6" t="s">
        <v>12</v>
      </c>
      <c r="C909" s="7">
        <v>12.35</v>
      </c>
      <c r="D909" s="7">
        <v>5.35</v>
      </c>
      <c r="E909" s="8">
        <v>2170</v>
      </c>
      <c r="F909" s="6">
        <v>1410</v>
      </c>
      <c r="G909" s="6">
        <v>3540</v>
      </c>
      <c r="H909" s="9">
        <f t="shared" si="67"/>
        <v>7120</v>
      </c>
      <c r="I909" s="9">
        <v>0</v>
      </c>
      <c r="J909" s="9">
        <v>7120</v>
      </c>
      <c r="K909" s="10">
        <v>6767</v>
      </c>
    </row>
    <row r="910" spans="1:11" ht="15.75">
      <c r="A910" s="5">
        <v>45000</v>
      </c>
      <c r="B910" s="6" t="s">
        <v>12</v>
      </c>
      <c r="C910" s="7">
        <v>12.28</v>
      </c>
      <c r="D910" s="7">
        <v>5.3</v>
      </c>
      <c r="E910" s="8">
        <v>2170</v>
      </c>
      <c r="F910" s="6">
        <v>1410</v>
      </c>
      <c r="G910" s="6">
        <v>3500</v>
      </c>
      <c r="H910" s="9">
        <f t="shared" si="67"/>
        <v>7080</v>
      </c>
      <c r="I910" s="9">
        <v>0</v>
      </c>
      <c r="J910" s="9">
        <v>7080</v>
      </c>
      <c r="K910" s="10">
        <v>6939</v>
      </c>
    </row>
    <row r="911" spans="1:11" ht="15.75">
      <c r="A911" s="5">
        <v>45001</v>
      </c>
      <c r="B911" s="6" t="s">
        <v>12</v>
      </c>
      <c r="C911" s="7">
        <v>12.27</v>
      </c>
      <c r="D911" s="7">
        <v>5.25</v>
      </c>
      <c r="E911" s="8">
        <v>2170</v>
      </c>
      <c r="F911" s="6">
        <v>1410</v>
      </c>
      <c r="G911" s="6">
        <v>3450</v>
      </c>
      <c r="H911" s="9">
        <f t="shared" si="67"/>
        <v>7030</v>
      </c>
      <c r="I911" s="9">
        <v>0</v>
      </c>
      <c r="J911" s="9">
        <v>7030</v>
      </c>
      <c r="K911" s="10">
        <v>6959</v>
      </c>
    </row>
    <row r="912" spans="1:11" ht="15.75">
      <c r="A912" s="5">
        <v>45002</v>
      </c>
      <c r="B912" s="6" t="s">
        <v>12</v>
      </c>
      <c r="C912" s="7">
        <v>12.25</v>
      </c>
      <c r="D912" s="7">
        <v>5.2</v>
      </c>
      <c r="E912" s="8">
        <v>2170</v>
      </c>
      <c r="F912" s="6">
        <v>1410</v>
      </c>
      <c r="G912" s="6">
        <v>3450</v>
      </c>
      <c r="H912" s="9">
        <f t="shared" si="67"/>
        <v>7030</v>
      </c>
      <c r="I912" s="9">
        <v>0</v>
      </c>
      <c r="J912" s="9">
        <v>7030</v>
      </c>
      <c r="K912" s="10">
        <v>6889</v>
      </c>
    </row>
    <row r="913" spans="1:11" ht="15.75">
      <c r="A913" s="5">
        <v>45003</v>
      </c>
      <c r="B913" s="6" t="s">
        <v>12</v>
      </c>
      <c r="C913" s="7">
        <v>12.24</v>
      </c>
      <c r="D913" s="7">
        <v>5.15</v>
      </c>
      <c r="E913" s="8">
        <v>2170</v>
      </c>
      <c r="F913" s="6">
        <v>1410</v>
      </c>
      <c r="G913" s="6">
        <v>3450</v>
      </c>
      <c r="H913" s="9">
        <f t="shared" si="67"/>
        <v>7030</v>
      </c>
      <c r="I913" s="9">
        <v>0</v>
      </c>
      <c r="J913" s="9">
        <v>7030</v>
      </c>
      <c r="K913" s="10">
        <v>6959</v>
      </c>
    </row>
    <row r="914" spans="1:11" ht="15.75">
      <c r="A914" s="5">
        <v>45004</v>
      </c>
      <c r="B914" s="6" t="s">
        <v>12</v>
      </c>
      <c r="C914" s="7">
        <v>12.22</v>
      </c>
      <c r="D914" s="7">
        <v>5.0999999999999996</v>
      </c>
      <c r="E914" s="8">
        <v>2170</v>
      </c>
      <c r="F914" s="6">
        <v>1410</v>
      </c>
      <c r="G914" s="6">
        <v>3400</v>
      </c>
      <c r="H914" s="9">
        <f t="shared" si="67"/>
        <v>6980</v>
      </c>
      <c r="I914" s="9">
        <v>0</v>
      </c>
      <c r="J914" s="9">
        <v>6980</v>
      </c>
      <c r="K914" s="10">
        <v>6839</v>
      </c>
    </row>
    <row r="915" spans="1:11" ht="15.75">
      <c r="A915" s="5">
        <v>45005</v>
      </c>
      <c r="B915" s="6" t="s">
        <v>12</v>
      </c>
      <c r="C915" s="7">
        <v>12.28</v>
      </c>
      <c r="D915" s="7">
        <v>5.3</v>
      </c>
      <c r="E915" s="8">
        <v>1730</v>
      </c>
      <c r="F915" s="6">
        <v>1125</v>
      </c>
      <c r="G915" s="6">
        <v>3000</v>
      </c>
      <c r="H915" s="9">
        <f t="shared" si="67"/>
        <v>5855</v>
      </c>
      <c r="I915" s="9">
        <v>0</v>
      </c>
      <c r="J915" s="9">
        <v>5855</v>
      </c>
      <c r="K915" s="10">
        <v>6279</v>
      </c>
    </row>
    <row r="916" spans="1:11" ht="15.75">
      <c r="A916" s="5">
        <v>45006</v>
      </c>
      <c r="B916" s="6" t="s">
        <v>12</v>
      </c>
      <c r="C916" s="7">
        <v>12.38</v>
      </c>
      <c r="D916" s="7">
        <v>5.6</v>
      </c>
      <c r="E916" s="8">
        <v>1730</v>
      </c>
      <c r="F916" s="6">
        <v>1125</v>
      </c>
      <c r="G916" s="6">
        <v>3000</v>
      </c>
      <c r="H916" s="9">
        <f t="shared" si="67"/>
        <v>5855</v>
      </c>
      <c r="I916" s="9">
        <v>0</v>
      </c>
      <c r="J916" s="9">
        <v>5855</v>
      </c>
      <c r="K916" s="10">
        <v>6561</v>
      </c>
    </row>
    <row r="917" spans="1:11" ht="15.75">
      <c r="A917" s="5">
        <v>45007</v>
      </c>
      <c r="B917" s="6" t="s">
        <v>12</v>
      </c>
      <c r="C917" s="7">
        <v>12.47</v>
      </c>
      <c r="D917" s="7">
        <v>5.9</v>
      </c>
      <c r="E917" s="8">
        <v>1730</v>
      </c>
      <c r="F917" s="6">
        <v>1125</v>
      </c>
      <c r="G917" s="6">
        <v>3000</v>
      </c>
      <c r="H917" s="9">
        <f t="shared" si="67"/>
        <v>5855</v>
      </c>
      <c r="I917" s="9">
        <v>0</v>
      </c>
      <c r="J917" s="9">
        <v>5855</v>
      </c>
      <c r="K917" s="10">
        <v>6437</v>
      </c>
    </row>
    <row r="918" spans="1:11" ht="15.75">
      <c r="A918" s="5">
        <v>45008</v>
      </c>
      <c r="B918" s="6" t="s">
        <v>12</v>
      </c>
      <c r="C918" s="7">
        <v>12.59</v>
      </c>
      <c r="D918" s="7">
        <v>6.3</v>
      </c>
      <c r="E918" s="8">
        <v>1850</v>
      </c>
      <c r="F918" s="6">
        <v>1200</v>
      </c>
      <c r="G918" s="6">
        <v>3200</v>
      </c>
      <c r="H918" s="9">
        <f t="shared" si="67"/>
        <v>6250</v>
      </c>
      <c r="I918" s="9">
        <v>0</v>
      </c>
      <c r="J918" s="9">
        <v>6250</v>
      </c>
      <c r="K918" s="10">
        <v>7193</v>
      </c>
    </row>
    <row r="919" spans="1:11" ht="15.75">
      <c r="A919" s="5">
        <v>45009</v>
      </c>
      <c r="B919" s="6" t="s">
        <v>12</v>
      </c>
      <c r="C919" s="7">
        <v>12.7</v>
      </c>
      <c r="D919" s="7">
        <v>6.65</v>
      </c>
      <c r="E919" s="8">
        <v>1850</v>
      </c>
      <c r="F919" s="6">
        <v>1200</v>
      </c>
      <c r="G919" s="6">
        <v>3200</v>
      </c>
      <c r="H919" s="9">
        <f t="shared" si="67"/>
        <v>6250</v>
      </c>
      <c r="I919" s="9">
        <v>0</v>
      </c>
      <c r="J919" s="9">
        <v>6250</v>
      </c>
      <c r="K919" s="10">
        <v>7057</v>
      </c>
    </row>
    <row r="920" spans="1:11" ht="15.75">
      <c r="A920" s="5">
        <v>45010</v>
      </c>
      <c r="B920" s="6" t="s">
        <v>12</v>
      </c>
      <c r="C920" s="7">
        <v>12.77</v>
      </c>
      <c r="D920" s="7">
        <v>6.9</v>
      </c>
      <c r="E920" s="8">
        <v>1850</v>
      </c>
      <c r="F920" s="6">
        <v>1200</v>
      </c>
      <c r="G920" s="6">
        <v>3200</v>
      </c>
      <c r="H920" s="9">
        <f t="shared" si="67"/>
        <v>6250</v>
      </c>
      <c r="I920" s="9">
        <v>0</v>
      </c>
      <c r="J920" s="9">
        <v>6250</v>
      </c>
      <c r="K920" s="10">
        <v>6767</v>
      </c>
    </row>
    <row r="921" spans="1:11" ht="15.75">
      <c r="A921" s="5">
        <v>45011</v>
      </c>
      <c r="B921" s="6" t="s">
        <v>12</v>
      </c>
      <c r="C921" s="7">
        <v>12.85</v>
      </c>
      <c r="D921" s="7">
        <v>7.15</v>
      </c>
      <c r="E921" s="8">
        <v>1960</v>
      </c>
      <c r="F921" s="6">
        <v>1275</v>
      </c>
      <c r="G921" s="6">
        <v>3400</v>
      </c>
      <c r="H921" s="9">
        <f t="shared" si="67"/>
        <v>6635</v>
      </c>
      <c r="I921" s="9">
        <v>0</v>
      </c>
      <c r="J921" s="9">
        <v>6635</v>
      </c>
      <c r="K921" s="10">
        <v>7232</v>
      </c>
    </row>
    <row r="922" spans="1:11" ht="15.75">
      <c r="A922" s="5">
        <v>45012</v>
      </c>
      <c r="B922" s="6" t="s">
        <v>12</v>
      </c>
      <c r="C922" s="7">
        <v>12.91</v>
      </c>
      <c r="D922" s="7">
        <v>7.35</v>
      </c>
      <c r="E922" s="8">
        <v>1960</v>
      </c>
      <c r="F922" s="6">
        <v>1275</v>
      </c>
      <c r="G922" s="6">
        <v>3400</v>
      </c>
      <c r="H922" s="9">
        <f t="shared" si="67"/>
        <v>6635</v>
      </c>
      <c r="I922" s="9">
        <v>0</v>
      </c>
      <c r="J922" s="9">
        <v>6635</v>
      </c>
      <c r="K922" s="9">
        <v>7083</v>
      </c>
    </row>
    <row r="923" spans="1:11" ht="15.75">
      <c r="A923" s="5">
        <v>45013</v>
      </c>
      <c r="B923" s="6" t="s">
        <v>12</v>
      </c>
      <c r="C923" s="7">
        <v>12.94</v>
      </c>
      <c r="D923" s="7">
        <v>7.5</v>
      </c>
      <c r="E923" s="8">
        <v>1960</v>
      </c>
      <c r="F923" s="6">
        <v>1275</v>
      </c>
      <c r="G923" s="6">
        <v>3400</v>
      </c>
      <c r="H923" s="9">
        <f t="shared" si="67"/>
        <v>6635</v>
      </c>
      <c r="I923" s="9">
        <v>0</v>
      </c>
      <c r="J923" s="9">
        <v>6635</v>
      </c>
      <c r="K923" s="9">
        <v>7008</v>
      </c>
    </row>
    <row r="924" spans="1:11" ht="15.75">
      <c r="A924" s="5">
        <v>45014</v>
      </c>
      <c r="B924" s="6" t="s">
        <v>12</v>
      </c>
      <c r="C924" s="7">
        <v>12.99</v>
      </c>
      <c r="D924" s="7">
        <v>7.6</v>
      </c>
      <c r="E924" s="8">
        <v>1960</v>
      </c>
      <c r="F924" s="6">
        <v>1275</v>
      </c>
      <c r="G924" s="6">
        <v>3400</v>
      </c>
      <c r="H924" s="9">
        <f t="shared" si="67"/>
        <v>6635</v>
      </c>
      <c r="I924" s="9">
        <v>0</v>
      </c>
      <c r="J924" s="9">
        <v>6635</v>
      </c>
      <c r="K924" s="9">
        <v>6860</v>
      </c>
    </row>
    <row r="925" spans="1:11" ht="15.75">
      <c r="A925" s="5">
        <v>45015</v>
      </c>
      <c r="B925" s="6" t="s">
        <v>12</v>
      </c>
      <c r="C925" s="7">
        <v>13</v>
      </c>
      <c r="D925" s="7">
        <v>7.65</v>
      </c>
      <c r="E925" s="8">
        <v>1960</v>
      </c>
      <c r="F925" s="6">
        <v>1275</v>
      </c>
      <c r="G925" s="6">
        <v>3400</v>
      </c>
      <c r="H925" s="9">
        <f t="shared" si="67"/>
        <v>6635</v>
      </c>
      <c r="I925" s="9">
        <v>0</v>
      </c>
      <c r="J925" s="9">
        <v>6635</v>
      </c>
      <c r="K925" s="9">
        <v>6709</v>
      </c>
    </row>
    <row r="926" spans="1:11" ht="15.75">
      <c r="A926" s="5">
        <v>45016</v>
      </c>
      <c r="B926" s="6" t="s">
        <v>12</v>
      </c>
      <c r="C926" s="7">
        <v>13.02</v>
      </c>
      <c r="D926" s="7">
        <v>7.7</v>
      </c>
      <c r="E926" s="8">
        <v>1960</v>
      </c>
      <c r="F926" s="6">
        <v>1275</v>
      </c>
      <c r="G926" s="6">
        <v>3400</v>
      </c>
      <c r="H926" s="9">
        <f t="shared" si="67"/>
        <v>6635</v>
      </c>
      <c r="I926" s="9">
        <v>0</v>
      </c>
      <c r="J926" s="9">
        <v>6635</v>
      </c>
      <c r="K926" s="9">
        <v>6784</v>
      </c>
    </row>
    <row r="927" spans="1:11" ht="15.75">
      <c r="A927" s="2" t="s">
        <v>13</v>
      </c>
      <c r="B927" s="2"/>
      <c r="C927" s="2"/>
      <c r="D927" s="2"/>
      <c r="E927" s="11">
        <f t="shared" ref="E927:K927" si="68">SUM(E896:E926)</f>
        <v>64090</v>
      </c>
      <c r="F927" s="11">
        <f t="shared" si="68"/>
        <v>42000</v>
      </c>
      <c r="G927" s="11">
        <f t="shared" si="68"/>
        <v>108840</v>
      </c>
      <c r="H927" s="11">
        <f t="shared" si="68"/>
        <v>214930</v>
      </c>
      <c r="I927" s="11">
        <f t="shared" si="68"/>
        <v>0</v>
      </c>
      <c r="J927" s="11">
        <f t="shared" si="68"/>
        <v>214930</v>
      </c>
      <c r="K927" s="11">
        <f t="shared" si="68"/>
        <v>214706</v>
      </c>
    </row>
    <row r="928" spans="1:11" ht="15.75">
      <c r="A928" s="12"/>
      <c r="B928" s="2"/>
      <c r="C928" s="2"/>
      <c r="D928" s="2"/>
      <c r="E928" s="13">
        <f t="shared" ref="E928:K928" si="69">SUM(E927/11575)</f>
        <v>5.5369330453563714</v>
      </c>
      <c r="F928" s="13">
        <f t="shared" si="69"/>
        <v>3.6285097192224622</v>
      </c>
      <c r="G928" s="13">
        <f t="shared" si="69"/>
        <v>9.4030237580993514</v>
      </c>
      <c r="H928" s="13">
        <f t="shared" si="69"/>
        <v>18.568466522678186</v>
      </c>
      <c r="I928" s="13">
        <f t="shared" si="69"/>
        <v>0</v>
      </c>
      <c r="J928" s="13">
        <f t="shared" si="69"/>
        <v>18.568466522678186</v>
      </c>
      <c r="K928" s="13">
        <f t="shared" si="69"/>
        <v>18.549114470842333</v>
      </c>
    </row>
    <row r="929" spans="1:11" ht="15.75">
      <c r="A929" s="1" t="s">
        <v>46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47.25">
      <c r="A930" s="2" t="s">
        <v>1</v>
      </c>
      <c r="B930" s="2" t="s">
        <v>2</v>
      </c>
      <c r="C930" s="3" t="s">
        <v>18</v>
      </c>
      <c r="D930" s="3" t="s">
        <v>4</v>
      </c>
      <c r="E930" s="3" t="s">
        <v>5</v>
      </c>
      <c r="F930" s="3" t="s">
        <v>6</v>
      </c>
      <c r="G930" s="3" t="s">
        <v>7</v>
      </c>
      <c r="H930" s="3" t="s">
        <v>8</v>
      </c>
      <c r="I930" s="3" t="s">
        <v>9</v>
      </c>
      <c r="J930" s="3" t="s">
        <v>19</v>
      </c>
      <c r="K930" s="4" t="s">
        <v>11</v>
      </c>
    </row>
    <row r="931" spans="1:11" ht="15.75">
      <c r="A931" s="5">
        <v>45017</v>
      </c>
      <c r="B931" s="6" t="s">
        <v>12</v>
      </c>
      <c r="C931" s="7">
        <v>13</v>
      </c>
      <c r="D931" s="7">
        <v>7.65</v>
      </c>
      <c r="E931" s="8">
        <v>1850</v>
      </c>
      <c r="F931" s="8">
        <v>1200</v>
      </c>
      <c r="G931" s="8">
        <v>3200</v>
      </c>
      <c r="H931" s="14">
        <f>E931+F931+G931</f>
        <v>6250</v>
      </c>
      <c r="I931" s="9">
        <v>0</v>
      </c>
      <c r="J931" s="9">
        <v>6250</v>
      </c>
      <c r="K931" s="10">
        <v>6101</v>
      </c>
    </row>
    <row r="932" spans="1:11" ht="15.75">
      <c r="A932" s="5">
        <v>45018</v>
      </c>
      <c r="B932" s="6" t="s">
        <v>12</v>
      </c>
      <c r="C932" s="7">
        <v>13.02</v>
      </c>
      <c r="D932" s="7">
        <v>7.7</v>
      </c>
      <c r="E932" s="8">
        <v>1850</v>
      </c>
      <c r="F932" s="6">
        <v>1200</v>
      </c>
      <c r="G932" s="8">
        <v>3200</v>
      </c>
      <c r="H932" s="9">
        <f t="shared" ref="H932:H960" si="70">E932+F932+G932</f>
        <v>6250</v>
      </c>
      <c r="I932" s="9">
        <v>0</v>
      </c>
      <c r="J932" s="9">
        <v>6250</v>
      </c>
      <c r="K932" s="10">
        <v>6399</v>
      </c>
    </row>
    <row r="933" spans="1:11" ht="15.75">
      <c r="A933" s="5">
        <v>45019</v>
      </c>
      <c r="B933" s="6" t="s">
        <v>12</v>
      </c>
      <c r="C933" s="7">
        <v>13.02</v>
      </c>
      <c r="D933" s="7">
        <v>7.7</v>
      </c>
      <c r="E933" s="8">
        <v>1850</v>
      </c>
      <c r="F933" s="6">
        <v>1200</v>
      </c>
      <c r="G933" s="8">
        <v>3200</v>
      </c>
      <c r="H933" s="9">
        <f t="shared" si="70"/>
        <v>6250</v>
      </c>
      <c r="I933" s="9">
        <v>0</v>
      </c>
      <c r="J933" s="9">
        <v>6250</v>
      </c>
      <c r="K933" s="10">
        <v>6250</v>
      </c>
    </row>
    <row r="934" spans="1:11" ht="15.75">
      <c r="A934" s="5">
        <v>45020</v>
      </c>
      <c r="B934" s="6" t="s">
        <v>12</v>
      </c>
      <c r="C934" s="7">
        <v>13.02</v>
      </c>
      <c r="D934" s="7">
        <v>7.7</v>
      </c>
      <c r="E934" s="8">
        <v>1850</v>
      </c>
      <c r="F934" s="6">
        <v>1200</v>
      </c>
      <c r="G934" s="8">
        <v>3200</v>
      </c>
      <c r="H934" s="9">
        <f t="shared" si="70"/>
        <v>6250</v>
      </c>
      <c r="I934" s="9">
        <v>0</v>
      </c>
      <c r="J934" s="9">
        <v>6250</v>
      </c>
      <c r="K934" s="10">
        <v>6250</v>
      </c>
    </row>
    <row r="935" spans="1:11" ht="15.75">
      <c r="A935" s="5">
        <v>45021</v>
      </c>
      <c r="B935" s="6" t="s">
        <v>12</v>
      </c>
      <c r="C935" s="7">
        <v>12.97</v>
      </c>
      <c r="D935" s="7">
        <v>7.55</v>
      </c>
      <c r="E935" s="8">
        <v>1850</v>
      </c>
      <c r="F935" s="6">
        <v>1200</v>
      </c>
      <c r="G935" s="8">
        <v>3200</v>
      </c>
      <c r="H935" s="9">
        <f t="shared" si="70"/>
        <v>6250</v>
      </c>
      <c r="I935" s="9">
        <v>0</v>
      </c>
      <c r="J935" s="9">
        <v>6250</v>
      </c>
      <c r="K935" s="9">
        <v>5877</v>
      </c>
    </row>
    <row r="936" spans="1:11" ht="15.75">
      <c r="A936" s="5">
        <v>45022</v>
      </c>
      <c r="B936" s="6" t="s">
        <v>12</v>
      </c>
      <c r="C936" s="7">
        <v>12.91</v>
      </c>
      <c r="D936" s="7">
        <v>7.35</v>
      </c>
      <c r="E936" s="8">
        <v>1850</v>
      </c>
      <c r="F936" s="6">
        <v>1200</v>
      </c>
      <c r="G936" s="8">
        <v>3200</v>
      </c>
      <c r="H936" s="9">
        <f t="shared" si="70"/>
        <v>6250</v>
      </c>
      <c r="I936" s="9">
        <v>0</v>
      </c>
      <c r="J936" s="9">
        <v>6250</v>
      </c>
      <c r="K936" s="10">
        <v>5802</v>
      </c>
    </row>
    <row r="937" spans="1:11" ht="15.75">
      <c r="A937" s="5">
        <v>45023</v>
      </c>
      <c r="B937" s="6" t="s">
        <v>12</v>
      </c>
      <c r="C937" s="7">
        <v>12.83</v>
      </c>
      <c r="D937" s="7">
        <v>7.1</v>
      </c>
      <c r="E937" s="8">
        <v>1850</v>
      </c>
      <c r="F937" s="6">
        <v>1200</v>
      </c>
      <c r="G937" s="8">
        <v>3200</v>
      </c>
      <c r="H937" s="9">
        <f t="shared" si="70"/>
        <v>6250</v>
      </c>
      <c r="I937" s="9">
        <v>0</v>
      </c>
      <c r="J937" s="9">
        <v>6250</v>
      </c>
      <c r="K937" s="10">
        <v>5653</v>
      </c>
    </row>
    <row r="938" spans="1:11" ht="15.75">
      <c r="A938" s="5">
        <v>45024</v>
      </c>
      <c r="B938" s="6" t="s">
        <v>12</v>
      </c>
      <c r="C938" s="7">
        <v>12.74</v>
      </c>
      <c r="D938" s="7">
        <v>6.8</v>
      </c>
      <c r="E938" s="8">
        <v>1850</v>
      </c>
      <c r="F938" s="6">
        <v>1200</v>
      </c>
      <c r="G938" s="8">
        <v>3200</v>
      </c>
      <c r="H938" s="9">
        <f t="shared" si="70"/>
        <v>6250</v>
      </c>
      <c r="I938" s="9">
        <v>0</v>
      </c>
      <c r="J938" s="9">
        <v>6250</v>
      </c>
      <c r="K938" s="10">
        <v>5579</v>
      </c>
    </row>
    <row r="939" spans="1:11" ht="15.75">
      <c r="A939" s="5">
        <v>45025</v>
      </c>
      <c r="B939" s="6" t="s">
        <v>12</v>
      </c>
      <c r="C939" s="7">
        <v>12.59</v>
      </c>
      <c r="D939" s="7">
        <v>6.3</v>
      </c>
      <c r="E939" s="8">
        <v>2185</v>
      </c>
      <c r="F939" s="6">
        <v>1420</v>
      </c>
      <c r="G939" s="8">
        <v>3800</v>
      </c>
      <c r="H939" s="9">
        <f t="shared" si="70"/>
        <v>7405</v>
      </c>
      <c r="I939" s="9">
        <v>0</v>
      </c>
      <c r="J939" s="9">
        <v>7405</v>
      </c>
      <c r="K939" s="10">
        <v>6304</v>
      </c>
    </row>
    <row r="940" spans="1:11" ht="15.75">
      <c r="A940" s="5">
        <v>45026</v>
      </c>
      <c r="B940" s="6" t="s">
        <v>12</v>
      </c>
      <c r="C940" s="7">
        <v>12.44</v>
      </c>
      <c r="D940" s="7">
        <v>5.8</v>
      </c>
      <c r="E940" s="8">
        <v>2185</v>
      </c>
      <c r="F940" s="6">
        <v>1420</v>
      </c>
      <c r="G940" s="8">
        <v>3800</v>
      </c>
      <c r="H940" s="9">
        <f t="shared" si="70"/>
        <v>7405</v>
      </c>
      <c r="I940" s="9">
        <v>0</v>
      </c>
      <c r="J940" s="10">
        <v>7405</v>
      </c>
      <c r="K940" s="16">
        <v>6304</v>
      </c>
    </row>
    <row r="941" spans="1:11" ht="15.75">
      <c r="A941" s="5">
        <v>45027</v>
      </c>
      <c r="B941" s="6" t="s">
        <v>12</v>
      </c>
      <c r="C941" s="7">
        <v>12.31</v>
      </c>
      <c r="D941" s="7">
        <v>5.4</v>
      </c>
      <c r="E941" s="8">
        <v>2000</v>
      </c>
      <c r="F941" s="6">
        <v>950</v>
      </c>
      <c r="G941" s="8">
        <v>3800</v>
      </c>
      <c r="H941" s="9">
        <f t="shared" si="70"/>
        <v>6750</v>
      </c>
      <c r="I941" s="9">
        <v>0</v>
      </c>
      <c r="J941" s="9">
        <v>6750</v>
      </c>
      <c r="K941" s="10">
        <v>5831</v>
      </c>
    </row>
    <row r="942" spans="1:11" ht="15.75">
      <c r="A942" s="5">
        <v>45028</v>
      </c>
      <c r="B942" s="6" t="s">
        <v>12</v>
      </c>
      <c r="C942" s="7">
        <v>12.19</v>
      </c>
      <c r="D942" s="7">
        <v>5</v>
      </c>
      <c r="E942" s="8">
        <v>1829</v>
      </c>
      <c r="F942" s="8">
        <v>700</v>
      </c>
      <c r="G942" s="6">
        <v>3800</v>
      </c>
      <c r="H942" s="9">
        <f t="shared" si="70"/>
        <v>6329</v>
      </c>
      <c r="I942" s="9">
        <v>0</v>
      </c>
      <c r="J942" s="9">
        <v>6329</v>
      </c>
      <c r="K942" s="10">
        <v>5482</v>
      </c>
    </row>
    <row r="943" spans="1:11" ht="15.75">
      <c r="A943" s="5">
        <v>45029</v>
      </c>
      <c r="B943" s="6" t="s">
        <v>12</v>
      </c>
      <c r="C943" s="7">
        <v>12.13</v>
      </c>
      <c r="D943" s="7">
        <v>4.8</v>
      </c>
      <c r="E943" s="8">
        <v>1664</v>
      </c>
      <c r="F943" s="6">
        <v>450</v>
      </c>
      <c r="G943" s="8">
        <v>3400</v>
      </c>
      <c r="H943" s="9">
        <f t="shared" si="70"/>
        <v>5514</v>
      </c>
      <c r="I943" s="9">
        <v>0</v>
      </c>
      <c r="J943" s="9">
        <v>5514</v>
      </c>
      <c r="K943" s="10">
        <v>5094</v>
      </c>
    </row>
    <row r="944" spans="1:11" ht="15.75">
      <c r="A944" s="5">
        <v>45030</v>
      </c>
      <c r="B944" s="6" t="s">
        <v>12</v>
      </c>
      <c r="C944" s="7">
        <v>12.09</v>
      </c>
      <c r="D944" s="7">
        <v>4.6500000000000004</v>
      </c>
      <c r="E944" s="8">
        <v>1400</v>
      </c>
      <c r="F944" s="6">
        <v>450</v>
      </c>
      <c r="G944" s="6">
        <v>3000</v>
      </c>
      <c r="H944" s="9">
        <f t="shared" si="70"/>
        <v>4850</v>
      </c>
      <c r="I944" s="9">
        <v>0</v>
      </c>
      <c r="J944" s="9">
        <v>4850</v>
      </c>
      <c r="K944" s="10">
        <v>4584</v>
      </c>
    </row>
    <row r="945" spans="1:11" ht="15.75">
      <c r="A945" s="5">
        <v>45031</v>
      </c>
      <c r="B945" s="6" t="s">
        <v>12</v>
      </c>
      <c r="C945" s="7">
        <v>12.06</v>
      </c>
      <c r="D945" s="7">
        <v>4.55</v>
      </c>
      <c r="E945" s="8">
        <v>1400</v>
      </c>
      <c r="F945" s="6">
        <v>450</v>
      </c>
      <c r="G945" s="6">
        <v>3000</v>
      </c>
      <c r="H945" s="9">
        <f t="shared" si="70"/>
        <v>4850</v>
      </c>
      <c r="I945" s="9">
        <v>0</v>
      </c>
      <c r="J945" s="9">
        <v>4850</v>
      </c>
      <c r="K945" s="10">
        <v>4651</v>
      </c>
    </row>
    <row r="946" spans="1:11" ht="15.75">
      <c r="A946" s="5">
        <v>45032</v>
      </c>
      <c r="B946" s="6" t="s">
        <v>12</v>
      </c>
      <c r="C946" s="7">
        <v>12.04</v>
      </c>
      <c r="D946" s="7">
        <v>4.5</v>
      </c>
      <c r="E946" s="8">
        <v>1400</v>
      </c>
      <c r="F946" s="6">
        <v>450</v>
      </c>
      <c r="G946" s="6">
        <v>3000</v>
      </c>
      <c r="H946" s="9">
        <f t="shared" si="70"/>
        <v>4850</v>
      </c>
      <c r="I946" s="9">
        <v>0</v>
      </c>
      <c r="J946" s="9">
        <v>4850</v>
      </c>
      <c r="K946" s="10">
        <v>4718</v>
      </c>
    </row>
    <row r="947" spans="1:11" ht="15.75">
      <c r="A947" s="5">
        <v>45033</v>
      </c>
      <c r="B947" s="6" t="s">
        <v>12</v>
      </c>
      <c r="C947" s="7">
        <v>12.04</v>
      </c>
      <c r="D947" s="7">
        <v>4.5</v>
      </c>
      <c r="E947" s="8">
        <v>1400</v>
      </c>
      <c r="F947" s="6">
        <v>450</v>
      </c>
      <c r="G947" s="6">
        <v>3000</v>
      </c>
      <c r="H947" s="9">
        <f t="shared" si="70"/>
        <v>4850</v>
      </c>
      <c r="I947" s="9">
        <v>0</v>
      </c>
      <c r="J947" s="9">
        <v>4850</v>
      </c>
      <c r="K947" s="10">
        <v>4850</v>
      </c>
    </row>
    <row r="948" spans="1:11" ht="15.75">
      <c r="A948" s="5">
        <v>45034</v>
      </c>
      <c r="B948" s="6" t="s">
        <v>12</v>
      </c>
      <c r="C948" s="7">
        <v>12.04</v>
      </c>
      <c r="D948" s="7">
        <v>4.5</v>
      </c>
      <c r="E948" s="8">
        <v>1400</v>
      </c>
      <c r="F948" s="6">
        <v>450</v>
      </c>
      <c r="G948" s="6">
        <v>3000</v>
      </c>
      <c r="H948" s="9">
        <f t="shared" si="70"/>
        <v>4850</v>
      </c>
      <c r="I948" s="9">
        <v>0</v>
      </c>
      <c r="J948" s="9">
        <v>4850</v>
      </c>
      <c r="K948" s="10">
        <v>4850</v>
      </c>
    </row>
    <row r="949" spans="1:11" ht="15.75">
      <c r="A949" s="5">
        <v>45035</v>
      </c>
      <c r="B949" s="6" t="s">
        <v>12</v>
      </c>
      <c r="C949" s="7">
        <v>12.07</v>
      </c>
      <c r="D949" s="7">
        <v>4.5999999999999996</v>
      </c>
      <c r="E949" s="8">
        <v>1400</v>
      </c>
      <c r="F949" s="6">
        <v>450</v>
      </c>
      <c r="G949" s="6">
        <v>3000</v>
      </c>
      <c r="H949" s="9">
        <f t="shared" si="70"/>
        <v>4850</v>
      </c>
      <c r="I949" s="9">
        <v>0</v>
      </c>
      <c r="J949" s="9">
        <v>4850</v>
      </c>
      <c r="K949" s="10">
        <v>5048</v>
      </c>
    </row>
    <row r="950" spans="1:11" ht="15.75">
      <c r="A950" s="5">
        <v>45036</v>
      </c>
      <c r="B950" s="6" t="s">
        <v>12</v>
      </c>
      <c r="C950" s="7">
        <v>12.07</v>
      </c>
      <c r="D950" s="7">
        <v>4.5999999999999996</v>
      </c>
      <c r="E950" s="8">
        <v>1400</v>
      </c>
      <c r="F950" s="6">
        <v>450</v>
      </c>
      <c r="G950" s="6">
        <v>3000</v>
      </c>
      <c r="H950" s="9">
        <f t="shared" si="70"/>
        <v>4850</v>
      </c>
      <c r="I950" s="9">
        <v>0</v>
      </c>
      <c r="J950" s="9">
        <v>4850</v>
      </c>
      <c r="K950" s="10">
        <v>4850</v>
      </c>
    </row>
    <row r="951" spans="1:11" ht="15.75">
      <c r="A951" s="5">
        <v>45037</v>
      </c>
      <c r="B951" s="6" t="s">
        <v>12</v>
      </c>
      <c r="C951" s="7">
        <v>12.15</v>
      </c>
      <c r="D951" s="7">
        <v>4.8499999999999996</v>
      </c>
      <c r="E951" s="8">
        <v>1000</v>
      </c>
      <c r="F951" s="6">
        <v>450</v>
      </c>
      <c r="G951" s="6">
        <v>1800</v>
      </c>
      <c r="H951" s="9">
        <f t="shared" si="70"/>
        <v>3250</v>
      </c>
      <c r="I951" s="9">
        <v>0</v>
      </c>
      <c r="J951" s="9">
        <v>3250</v>
      </c>
      <c r="K951" s="10">
        <v>3787</v>
      </c>
    </row>
    <row r="952" spans="1:11" ht="15.75">
      <c r="A952" s="5">
        <v>45038</v>
      </c>
      <c r="B952" s="6" t="s">
        <v>12</v>
      </c>
      <c r="C952" s="7">
        <v>12.22</v>
      </c>
      <c r="D952" s="7">
        <v>5.0999999999999996</v>
      </c>
      <c r="E952" s="8">
        <v>1000</v>
      </c>
      <c r="F952" s="6">
        <v>700</v>
      </c>
      <c r="G952" s="6">
        <v>1800</v>
      </c>
      <c r="H952" s="9">
        <f t="shared" si="70"/>
        <v>3500</v>
      </c>
      <c r="I952" s="9">
        <v>0</v>
      </c>
      <c r="J952" s="9">
        <v>3500</v>
      </c>
      <c r="K952" s="10">
        <v>3994</v>
      </c>
    </row>
    <row r="953" spans="1:11" ht="15.75">
      <c r="A953" s="5">
        <v>45039</v>
      </c>
      <c r="B953" s="6" t="s">
        <v>12</v>
      </c>
      <c r="C953" s="7">
        <v>12.28</v>
      </c>
      <c r="D953" s="7">
        <v>5.3</v>
      </c>
      <c r="E953" s="8">
        <v>1000</v>
      </c>
      <c r="F953" s="6">
        <v>825</v>
      </c>
      <c r="G953" s="6">
        <v>1800</v>
      </c>
      <c r="H953" s="9">
        <f t="shared" si="70"/>
        <v>3625</v>
      </c>
      <c r="I953" s="9">
        <v>0</v>
      </c>
      <c r="J953" s="9">
        <v>3625</v>
      </c>
      <c r="K953" s="10">
        <v>4049</v>
      </c>
    </row>
    <row r="954" spans="1:11" ht="15.75">
      <c r="A954" s="5">
        <v>45040</v>
      </c>
      <c r="B954" s="6" t="s">
        <v>12</v>
      </c>
      <c r="C954" s="7">
        <v>12.35</v>
      </c>
      <c r="D954" s="7">
        <v>5.5</v>
      </c>
      <c r="E954" s="8">
        <v>1000</v>
      </c>
      <c r="F954" s="6">
        <v>1000</v>
      </c>
      <c r="G954" s="6">
        <v>1800</v>
      </c>
      <c r="H954" s="9">
        <f t="shared" si="70"/>
        <v>3800</v>
      </c>
      <c r="I954" s="9">
        <v>0</v>
      </c>
      <c r="J954" s="9">
        <v>3800</v>
      </c>
      <c r="K954" s="10">
        <v>4294</v>
      </c>
    </row>
    <row r="955" spans="1:11" ht="15.75">
      <c r="A955" s="5">
        <v>45041</v>
      </c>
      <c r="B955" s="6" t="s">
        <v>12</v>
      </c>
      <c r="C955" s="7">
        <v>12.36</v>
      </c>
      <c r="D955" s="7">
        <v>5.55</v>
      </c>
      <c r="E955" s="8">
        <v>800</v>
      </c>
      <c r="F955" s="6">
        <v>650</v>
      </c>
      <c r="G955" s="6">
        <v>1800</v>
      </c>
      <c r="H955" s="9">
        <f t="shared" si="70"/>
        <v>3250</v>
      </c>
      <c r="I955" s="9">
        <v>0</v>
      </c>
      <c r="J955" s="9">
        <v>3250</v>
      </c>
      <c r="K955" s="10">
        <v>3321</v>
      </c>
    </row>
    <row r="956" spans="1:11" ht="15.75">
      <c r="A956" s="5">
        <v>45042</v>
      </c>
      <c r="B956" s="6" t="s">
        <v>12</v>
      </c>
      <c r="C956" s="7">
        <v>12.35</v>
      </c>
      <c r="D956" s="7">
        <v>5.5</v>
      </c>
      <c r="E956" s="8">
        <v>800</v>
      </c>
      <c r="F956" s="6">
        <v>200</v>
      </c>
      <c r="G956" s="6">
        <v>2500</v>
      </c>
      <c r="H956" s="9">
        <f t="shared" si="70"/>
        <v>3500</v>
      </c>
      <c r="I956" s="9">
        <v>0</v>
      </c>
      <c r="J956" s="9">
        <v>3500</v>
      </c>
      <c r="K956" s="10">
        <v>3429</v>
      </c>
    </row>
    <row r="957" spans="1:11" ht="15.75">
      <c r="A957" s="5">
        <v>45043</v>
      </c>
      <c r="B957" s="6" t="s">
        <v>12</v>
      </c>
      <c r="C957" s="7">
        <v>12.35</v>
      </c>
      <c r="D957" s="7">
        <v>5.5</v>
      </c>
      <c r="E957" s="8">
        <v>800</v>
      </c>
      <c r="F957" s="6">
        <v>50</v>
      </c>
      <c r="G957" s="6">
        <v>2500</v>
      </c>
      <c r="H957" s="9">
        <f t="shared" si="70"/>
        <v>3350</v>
      </c>
      <c r="I957" s="9">
        <v>0</v>
      </c>
      <c r="J957" s="9">
        <v>3350</v>
      </c>
      <c r="K957" s="9">
        <v>3350</v>
      </c>
    </row>
    <row r="958" spans="1:11" ht="15.75">
      <c r="A958" s="5">
        <v>45044</v>
      </c>
      <c r="B958" s="6" t="s">
        <v>12</v>
      </c>
      <c r="C958" s="7">
        <v>12.42</v>
      </c>
      <c r="D958" s="7">
        <v>5.75</v>
      </c>
      <c r="E958" s="8">
        <v>800</v>
      </c>
      <c r="F958" s="6">
        <v>50</v>
      </c>
      <c r="G958" s="6">
        <v>2500</v>
      </c>
      <c r="H958" s="9">
        <f t="shared" si="70"/>
        <v>3350</v>
      </c>
      <c r="I958" s="9">
        <v>0</v>
      </c>
      <c r="J958" s="9">
        <v>3350</v>
      </c>
      <c r="K958" s="9">
        <v>3845</v>
      </c>
    </row>
    <row r="959" spans="1:11" ht="15.75">
      <c r="A959" s="5">
        <v>45045</v>
      </c>
      <c r="B959" s="6" t="s">
        <v>12</v>
      </c>
      <c r="C959" s="7">
        <v>12.47</v>
      </c>
      <c r="D959" s="7">
        <v>5.9</v>
      </c>
      <c r="E959" s="8">
        <v>800</v>
      </c>
      <c r="F959" s="6">
        <v>50</v>
      </c>
      <c r="G959" s="6">
        <v>2500</v>
      </c>
      <c r="H959" s="9">
        <f t="shared" si="70"/>
        <v>3350</v>
      </c>
      <c r="I959" s="9">
        <v>0</v>
      </c>
      <c r="J959" s="9">
        <v>3350</v>
      </c>
      <c r="K959" s="9">
        <v>3638</v>
      </c>
    </row>
    <row r="960" spans="1:11" ht="15.75">
      <c r="A960" s="5">
        <v>45046</v>
      </c>
      <c r="B960" s="6" t="s">
        <v>12</v>
      </c>
      <c r="C960" s="7">
        <v>12.57</v>
      </c>
      <c r="D960" s="7">
        <v>6.25</v>
      </c>
      <c r="E960" s="8">
        <v>800</v>
      </c>
      <c r="F960" s="6">
        <v>50</v>
      </c>
      <c r="G960" s="6">
        <v>2500</v>
      </c>
      <c r="H960" s="9">
        <f t="shared" si="70"/>
        <v>3350</v>
      </c>
      <c r="I960" s="9">
        <v>0</v>
      </c>
      <c r="J960" s="9">
        <v>3350</v>
      </c>
      <c r="K960" s="9">
        <v>4157</v>
      </c>
    </row>
    <row r="961" spans="1:11" ht="15.75">
      <c r="A961" s="2" t="s">
        <v>13</v>
      </c>
      <c r="B961" s="2"/>
      <c r="C961" s="2"/>
      <c r="D961" s="2"/>
      <c r="E961" s="11">
        <f t="shared" ref="E961:K961" si="71">SUM(E931:E960)</f>
        <v>43263</v>
      </c>
      <c r="F961" s="11">
        <f t="shared" si="71"/>
        <v>21715</v>
      </c>
      <c r="G961" s="11">
        <f t="shared" si="71"/>
        <v>86700</v>
      </c>
      <c r="H961" s="11">
        <f t="shared" si="71"/>
        <v>151678</v>
      </c>
      <c r="I961" s="11">
        <f t="shared" si="71"/>
        <v>0</v>
      </c>
      <c r="J961" s="11">
        <f t="shared" si="71"/>
        <v>151678</v>
      </c>
      <c r="K961" s="11">
        <f t="shared" si="71"/>
        <v>148341</v>
      </c>
    </row>
    <row r="962" spans="1:11" ht="15.75">
      <c r="A962" s="12"/>
      <c r="B962" s="2"/>
      <c r="C962" s="2"/>
      <c r="D962" s="2"/>
      <c r="E962" s="13">
        <f t="shared" ref="E962:K962" si="72">SUM(E961/11575)</f>
        <v>3.7376241900647948</v>
      </c>
      <c r="F962" s="13">
        <f t="shared" si="72"/>
        <v>1.8760259179265659</v>
      </c>
      <c r="G962" s="13">
        <f t="shared" si="72"/>
        <v>7.4902807775377971</v>
      </c>
      <c r="H962" s="13">
        <f t="shared" si="72"/>
        <v>13.103930885529158</v>
      </c>
      <c r="I962" s="13">
        <f t="shared" si="72"/>
        <v>0</v>
      </c>
      <c r="J962" s="13">
        <f t="shared" si="72"/>
        <v>13.103930885529158</v>
      </c>
      <c r="K962" s="13">
        <f t="shared" si="72"/>
        <v>12.815637149028078</v>
      </c>
    </row>
    <row r="963" spans="1:11" ht="15.75">
      <c r="A963" s="1" t="s">
        <v>47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ht="47.25">
      <c r="A964" s="2" t="s">
        <v>1</v>
      </c>
      <c r="B964" s="2" t="s">
        <v>2</v>
      </c>
      <c r="C964" s="3" t="s">
        <v>18</v>
      </c>
      <c r="D964" s="3" t="s">
        <v>4</v>
      </c>
      <c r="E964" s="3" t="s">
        <v>5</v>
      </c>
      <c r="F964" s="3" t="s">
        <v>6</v>
      </c>
      <c r="G964" s="3" t="s">
        <v>7</v>
      </c>
      <c r="H964" s="3" t="s">
        <v>8</v>
      </c>
      <c r="I964" s="3" t="s">
        <v>9</v>
      </c>
      <c r="J964" s="3" t="s">
        <v>19</v>
      </c>
      <c r="K964" s="4" t="s">
        <v>11</v>
      </c>
    </row>
    <row r="965" spans="1:11" ht="15.75">
      <c r="A965" s="5">
        <v>45047</v>
      </c>
      <c r="B965" s="6" t="s">
        <v>12</v>
      </c>
      <c r="C965" s="7">
        <v>12.77</v>
      </c>
      <c r="D965" s="7">
        <v>6.9</v>
      </c>
      <c r="E965" s="8">
        <v>0</v>
      </c>
      <c r="F965" s="8">
        <v>0</v>
      </c>
      <c r="G965" s="8">
        <v>0</v>
      </c>
      <c r="H965" s="14">
        <f>E965+F965+G965</f>
        <v>0</v>
      </c>
      <c r="I965" s="9">
        <v>0</v>
      </c>
      <c r="J965" s="9">
        <v>0</v>
      </c>
      <c r="K965" s="10">
        <v>3715</v>
      </c>
    </row>
    <row r="966" spans="1:11" ht="15.75">
      <c r="A966" s="5">
        <v>45048</v>
      </c>
      <c r="B966" s="6" t="s">
        <v>12</v>
      </c>
      <c r="C966" s="7">
        <v>13.06</v>
      </c>
      <c r="D966" s="7">
        <v>7.85</v>
      </c>
      <c r="E966" s="8">
        <v>0</v>
      </c>
      <c r="F966" s="6">
        <v>0</v>
      </c>
      <c r="G966" s="8">
        <v>0</v>
      </c>
      <c r="H966" s="9">
        <f t="shared" ref="H966:H995" si="73">E966+F966+G966</f>
        <v>0</v>
      </c>
      <c r="I966" s="9">
        <v>0</v>
      </c>
      <c r="J966" s="9">
        <v>0</v>
      </c>
      <c r="K966" s="10">
        <v>6418</v>
      </c>
    </row>
    <row r="967" spans="1:11" ht="15.75">
      <c r="A967" s="5">
        <v>45049</v>
      </c>
      <c r="B967" s="6" t="s">
        <v>12</v>
      </c>
      <c r="C967" s="7">
        <v>13.29</v>
      </c>
      <c r="D967" s="7">
        <v>7.29</v>
      </c>
      <c r="E967" s="8">
        <v>0</v>
      </c>
      <c r="F967" s="6">
        <v>0</v>
      </c>
      <c r="G967" s="8">
        <v>0</v>
      </c>
      <c r="H967" s="9">
        <f t="shared" si="73"/>
        <v>0</v>
      </c>
      <c r="I967" s="9">
        <v>0</v>
      </c>
      <c r="J967" s="9">
        <v>0</v>
      </c>
      <c r="K967" s="10">
        <v>3435</v>
      </c>
    </row>
    <row r="968" spans="1:11" ht="15.75">
      <c r="A968" s="5">
        <v>45050</v>
      </c>
      <c r="B968" s="6" t="s">
        <v>12</v>
      </c>
      <c r="C968" s="7">
        <v>13.49</v>
      </c>
      <c r="D968" s="7">
        <v>9.25</v>
      </c>
      <c r="E968" s="8">
        <v>0</v>
      </c>
      <c r="F968" s="6">
        <v>0</v>
      </c>
      <c r="G968" s="8">
        <v>0</v>
      </c>
      <c r="H968" s="9">
        <f t="shared" si="73"/>
        <v>0</v>
      </c>
      <c r="I968" s="9">
        <v>0</v>
      </c>
      <c r="J968" s="9">
        <v>0</v>
      </c>
      <c r="K968" s="10">
        <v>4036</v>
      </c>
    </row>
    <row r="969" spans="1:11" ht="15.75">
      <c r="A969" s="5">
        <v>45051</v>
      </c>
      <c r="B969" s="6" t="s">
        <v>12</v>
      </c>
      <c r="C969" s="7">
        <v>13.66</v>
      </c>
      <c r="D969" s="7">
        <v>9.8000000000000007</v>
      </c>
      <c r="E969" s="8">
        <v>0</v>
      </c>
      <c r="F969" s="6">
        <v>0</v>
      </c>
      <c r="G969" s="8">
        <v>0</v>
      </c>
      <c r="H969" s="9">
        <f t="shared" si="73"/>
        <v>0</v>
      </c>
      <c r="I969" s="9">
        <v>0</v>
      </c>
      <c r="J969" s="9">
        <v>0</v>
      </c>
      <c r="K969" s="9">
        <v>3664</v>
      </c>
    </row>
    <row r="970" spans="1:11" ht="15.75">
      <c r="A970" s="5">
        <v>45052</v>
      </c>
      <c r="B970" s="6" t="s">
        <v>12</v>
      </c>
      <c r="C970" s="7">
        <v>13.81</v>
      </c>
      <c r="D970" s="7">
        <v>10.3</v>
      </c>
      <c r="E970" s="8">
        <v>0</v>
      </c>
      <c r="F970" s="6">
        <v>0</v>
      </c>
      <c r="G970" s="8">
        <v>0</v>
      </c>
      <c r="H970" s="9">
        <f t="shared" si="73"/>
        <v>0</v>
      </c>
      <c r="I970" s="9">
        <v>0</v>
      </c>
      <c r="J970" s="9">
        <v>0</v>
      </c>
      <c r="K970" s="10">
        <v>5206</v>
      </c>
    </row>
    <row r="971" spans="1:11" ht="15.75">
      <c r="A971" s="5">
        <v>45053</v>
      </c>
      <c r="B971" s="6" t="s">
        <v>12</v>
      </c>
      <c r="C971" s="7">
        <v>13.99</v>
      </c>
      <c r="D971" s="7">
        <v>10.9</v>
      </c>
      <c r="E971" s="8">
        <v>0</v>
      </c>
      <c r="F971" s="6">
        <v>0</v>
      </c>
      <c r="G971" s="8">
        <v>0</v>
      </c>
      <c r="H971" s="9">
        <f t="shared" si="73"/>
        <v>0</v>
      </c>
      <c r="I971" s="9">
        <v>0</v>
      </c>
      <c r="J971" s="9">
        <v>0</v>
      </c>
      <c r="K971" s="10">
        <v>4512</v>
      </c>
    </row>
    <row r="972" spans="1:11" ht="15.75">
      <c r="A972" s="5">
        <v>45054</v>
      </c>
      <c r="B972" s="6" t="s">
        <v>12</v>
      </c>
      <c r="C972" s="7">
        <v>13.9</v>
      </c>
      <c r="D972" s="7">
        <v>10.6</v>
      </c>
      <c r="E972" s="8">
        <v>0</v>
      </c>
      <c r="F972" s="6">
        <v>0</v>
      </c>
      <c r="G972" s="8">
        <v>0</v>
      </c>
      <c r="H972" s="9">
        <f t="shared" si="73"/>
        <v>0</v>
      </c>
      <c r="I972" s="9">
        <v>10500</v>
      </c>
      <c r="J972" s="9">
        <v>10500</v>
      </c>
      <c r="K972" s="10">
        <v>9805</v>
      </c>
    </row>
    <row r="973" spans="1:11" ht="15.75">
      <c r="A973" s="5">
        <v>45055</v>
      </c>
      <c r="B973" s="6" t="s">
        <v>12</v>
      </c>
      <c r="C973" s="7">
        <v>13.69</v>
      </c>
      <c r="D973" s="7">
        <v>9.9</v>
      </c>
      <c r="E973" s="8">
        <v>0</v>
      </c>
      <c r="F973" s="6">
        <v>0</v>
      </c>
      <c r="G973" s="8">
        <v>500</v>
      </c>
      <c r="H973" s="9">
        <f t="shared" si="73"/>
        <v>500</v>
      </c>
      <c r="I973" s="9">
        <v>7128</v>
      </c>
      <c r="J973" s="9">
        <v>7628</v>
      </c>
      <c r="K973" s="10">
        <v>6007</v>
      </c>
    </row>
    <row r="974" spans="1:11" ht="15.75">
      <c r="A974" s="5">
        <v>45056</v>
      </c>
      <c r="B974" s="6" t="s">
        <v>12</v>
      </c>
      <c r="C974" s="7">
        <v>13.66</v>
      </c>
      <c r="D974" s="7">
        <v>9.8000000000000007</v>
      </c>
      <c r="E974" s="8">
        <v>0</v>
      </c>
      <c r="F974" s="6">
        <v>0</v>
      </c>
      <c r="G974" s="8">
        <v>500</v>
      </c>
      <c r="H974" s="9">
        <f t="shared" si="73"/>
        <v>500</v>
      </c>
      <c r="I974" s="9">
        <v>3544</v>
      </c>
      <c r="J974" s="10">
        <v>4044</v>
      </c>
      <c r="K974" s="16">
        <v>3812</v>
      </c>
    </row>
    <row r="975" spans="1:11" ht="15.75">
      <c r="A975" s="5">
        <v>45057</v>
      </c>
      <c r="B975" s="6" t="s">
        <v>12</v>
      </c>
      <c r="C975" s="7">
        <v>13.79</v>
      </c>
      <c r="D975" s="7">
        <v>10.25</v>
      </c>
      <c r="E975" s="8">
        <v>0</v>
      </c>
      <c r="F975" s="6">
        <v>0</v>
      </c>
      <c r="G975" s="8">
        <v>0</v>
      </c>
      <c r="H975" s="9">
        <f t="shared" si="73"/>
        <v>0</v>
      </c>
      <c r="I975" s="9">
        <v>0</v>
      </c>
      <c r="J975" s="9">
        <v>0</v>
      </c>
      <c r="K975" s="10">
        <v>4519</v>
      </c>
    </row>
    <row r="976" spans="1:11" ht="15.75">
      <c r="A976" s="5">
        <v>45058</v>
      </c>
      <c r="B976" s="6" t="s">
        <v>12</v>
      </c>
      <c r="C976" s="7">
        <v>13.9</v>
      </c>
      <c r="D976" s="7">
        <v>10.6</v>
      </c>
      <c r="E976" s="8">
        <v>0</v>
      </c>
      <c r="F976" s="8">
        <v>0</v>
      </c>
      <c r="G976" s="6">
        <v>0</v>
      </c>
      <c r="H976" s="9">
        <f t="shared" si="73"/>
        <v>0</v>
      </c>
      <c r="I976" s="9">
        <v>5547</v>
      </c>
      <c r="J976" s="9">
        <v>5547</v>
      </c>
      <c r="K976" s="10">
        <v>6395</v>
      </c>
    </row>
    <row r="977" spans="1:11" ht="15.75">
      <c r="A977" s="5">
        <v>45059</v>
      </c>
      <c r="B977" s="6" t="s">
        <v>12</v>
      </c>
      <c r="C977" s="7">
        <v>13.92</v>
      </c>
      <c r="D977" s="7">
        <v>10.65</v>
      </c>
      <c r="E977" s="8">
        <v>0</v>
      </c>
      <c r="F977" s="6">
        <v>0</v>
      </c>
      <c r="G977" s="8">
        <v>0</v>
      </c>
      <c r="H977" s="9">
        <f t="shared" si="73"/>
        <v>0</v>
      </c>
      <c r="I977" s="9">
        <v>7423</v>
      </c>
      <c r="J977" s="9">
        <v>7423</v>
      </c>
      <c r="K977" s="10">
        <v>7501</v>
      </c>
    </row>
    <row r="978" spans="1:11" ht="15.75">
      <c r="A978" s="5">
        <v>45060</v>
      </c>
      <c r="B978" s="6" t="s">
        <v>12</v>
      </c>
      <c r="C978" s="7">
        <v>13.78</v>
      </c>
      <c r="D978" s="7">
        <v>10.199999999999999</v>
      </c>
      <c r="E978" s="8">
        <v>0</v>
      </c>
      <c r="F978" s="6">
        <v>0</v>
      </c>
      <c r="G978" s="6">
        <v>0</v>
      </c>
      <c r="H978" s="9">
        <f t="shared" si="73"/>
        <v>0</v>
      </c>
      <c r="I978" s="9">
        <v>12691</v>
      </c>
      <c r="J978" s="9">
        <v>12691</v>
      </c>
      <c r="K978" s="10">
        <v>11687</v>
      </c>
    </row>
    <row r="979" spans="1:11" ht="15.75">
      <c r="A979" s="5">
        <v>45061</v>
      </c>
      <c r="B979" s="6" t="s">
        <v>12</v>
      </c>
      <c r="C979" s="7">
        <v>13.72</v>
      </c>
      <c r="D979" s="7">
        <v>10</v>
      </c>
      <c r="E979" s="8">
        <v>0</v>
      </c>
      <c r="F979" s="6">
        <v>0</v>
      </c>
      <c r="G979" s="6">
        <v>0</v>
      </c>
      <c r="H979" s="9">
        <f t="shared" si="73"/>
        <v>0</v>
      </c>
      <c r="I979" s="9">
        <v>8370</v>
      </c>
      <c r="J979" s="9">
        <v>8370</v>
      </c>
      <c r="K979" s="10">
        <v>7907</v>
      </c>
    </row>
    <row r="980" spans="1:11" ht="15.75">
      <c r="A980" s="5">
        <v>45062</v>
      </c>
      <c r="B980" s="6" t="s">
        <v>12</v>
      </c>
      <c r="C980" s="7">
        <v>13.79</v>
      </c>
      <c r="D980" s="7">
        <v>10.28</v>
      </c>
      <c r="E980" s="8">
        <v>0</v>
      </c>
      <c r="F980" s="6">
        <v>0</v>
      </c>
      <c r="G980" s="6">
        <v>0</v>
      </c>
      <c r="H980" s="9">
        <f t="shared" si="73"/>
        <v>0</v>
      </c>
      <c r="I980" s="9">
        <v>6096</v>
      </c>
      <c r="J980" s="9">
        <v>6096</v>
      </c>
      <c r="K980" s="10">
        <v>6637</v>
      </c>
    </row>
    <row r="981" spans="1:11" ht="15.75">
      <c r="A981" s="5">
        <v>45063</v>
      </c>
      <c r="B981" s="6" t="s">
        <v>12</v>
      </c>
      <c r="C981" s="7">
        <v>13.92</v>
      </c>
      <c r="D981" s="7">
        <v>10.65</v>
      </c>
      <c r="E981" s="8">
        <v>0</v>
      </c>
      <c r="F981" s="6">
        <v>0</v>
      </c>
      <c r="G981" s="6">
        <v>0</v>
      </c>
      <c r="H981" s="9">
        <f t="shared" si="73"/>
        <v>0</v>
      </c>
      <c r="I981" s="9">
        <v>6221</v>
      </c>
      <c r="J981" s="9">
        <v>6221</v>
      </c>
      <c r="K981" s="10">
        <v>7147</v>
      </c>
    </row>
    <row r="982" spans="1:11" ht="15.75">
      <c r="A982" s="5">
        <v>45064</v>
      </c>
      <c r="B982" s="6" t="s">
        <v>12</v>
      </c>
      <c r="C982" s="7">
        <v>13.89</v>
      </c>
      <c r="D982" s="7">
        <v>10.55</v>
      </c>
      <c r="E982" s="8">
        <v>0</v>
      </c>
      <c r="F982" s="6">
        <v>0</v>
      </c>
      <c r="G982" s="6">
        <v>0</v>
      </c>
      <c r="H982" s="9">
        <f t="shared" si="73"/>
        <v>0</v>
      </c>
      <c r="I982" s="9">
        <v>12336</v>
      </c>
      <c r="J982" s="9">
        <v>12336</v>
      </c>
      <c r="K982" s="10">
        <v>12181</v>
      </c>
    </row>
    <row r="983" spans="1:11" ht="15.75">
      <c r="A983" s="5">
        <v>45065</v>
      </c>
      <c r="B983" s="6" t="s">
        <v>12</v>
      </c>
      <c r="C983" s="7">
        <v>13.85</v>
      </c>
      <c r="D983" s="7">
        <v>10.45</v>
      </c>
      <c r="E983" s="8">
        <v>0</v>
      </c>
      <c r="F983" s="6">
        <v>0</v>
      </c>
      <c r="G983" s="6">
        <v>0</v>
      </c>
      <c r="H983" s="9">
        <f t="shared" si="73"/>
        <v>0</v>
      </c>
      <c r="I983" s="9">
        <v>12270</v>
      </c>
      <c r="J983" s="9">
        <v>12270</v>
      </c>
      <c r="K983" s="10">
        <v>11962</v>
      </c>
    </row>
    <row r="984" spans="1:11" ht="15.75">
      <c r="A984" s="5">
        <v>45066</v>
      </c>
      <c r="B984" s="6" t="s">
        <v>12</v>
      </c>
      <c r="C984" s="7">
        <v>13.85</v>
      </c>
      <c r="D984" s="7">
        <v>10.45</v>
      </c>
      <c r="E984" s="8">
        <v>0</v>
      </c>
      <c r="F984" s="6">
        <v>0</v>
      </c>
      <c r="G984" s="6">
        <v>0</v>
      </c>
      <c r="H984" s="9">
        <f t="shared" si="73"/>
        <v>0</v>
      </c>
      <c r="I984" s="9">
        <v>12270</v>
      </c>
      <c r="J984" s="9">
        <v>12270</v>
      </c>
      <c r="K984" s="10">
        <v>12270</v>
      </c>
    </row>
    <row r="985" spans="1:11" ht="15.75">
      <c r="A985" s="5">
        <v>45067</v>
      </c>
      <c r="B985" s="6" t="s">
        <v>12</v>
      </c>
      <c r="C985" s="7">
        <v>13.92</v>
      </c>
      <c r="D985" s="7">
        <v>10.65</v>
      </c>
      <c r="E985" s="8">
        <v>0</v>
      </c>
      <c r="F985" s="6">
        <v>0</v>
      </c>
      <c r="G985" s="6">
        <v>0</v>
      </c>
      <c r="H985" s="9">
        <f t="shared" si="73"/>
        <v>0</v>
      </c>
      <c r="I985" s="9">
        <v>11781</v>
      </c>
      <c r="J985" s="9">
        <v>11780</v>
      </c>
      <c r="K985" s="10">
        <v>12244</v>
      </c>
    </row>
    <row r="986" spans="1:11" ht="15.75">
      <c r="A986" s="5">
        <v>45068</v>
      </c>
      <c r="B986" s="6" t="s">
        <v>12</v>
      </c>
      <c r="C986" s="7">
        <v>13.92</v>
      </c>
      <c r="D986" s="7">
        <v>10.65</v>
      </c>
      <c r="E986" s="8">
        <v>0</v>
      </c>
      <c r="F986" s="6">
        <v>0</v>
      </c>
      <c r="G986" s="6">
        <v>0</v>
      </c>
      <c r="H986" s="9">
        <f t="shared" si="73"/>
        <v>0</v>
      </c>
      <c r="I986" s="9">
        <v>11778</v>
      </c>
      <c r="J986" s="9">
        <v>11778</v>
      </c>
      <c r="K986" s="10">
        <v>11778</v>
      </c>
    </row>
    <row r="987" spans="1:11" ht="15.75">
      <c r="A987" s="5">
        <v>45069</v>
      </c>
      <c r="B987" s="6" t="s">
        <v>12</v>
      </c>
      <c r="C987" s="7">
        <v>13.89</v>
      </c>
      <c r="D987" s="7">
        <v>10.55</v>
      </c>
      <c r="E987" s="8">
        <v>0</v>
      </c>
      <c r="F987" s="6">
        <v>0</v>
      </c>
      <c r="G987" s="6">
        <v>0</v>
      </c>
      <c r="H987" s="9">
        <f t="shared" si="73"/>
        <v>0</v>
      </c>
      <c r="I987" s="9">
        <v>12320</v>
      </c>
      <c r="J987" s="9">
        <v>12320</v>
      </c>
      <c r="K987" s="10">
        <v>12165</v>
      </c>
    </row>
    <row r="988" spans="1:11" ht="15.75">
      <c r="A988" s="5">
        <v>45070</v>
      </c>
      <c r="B988" s="6" t="s">
        <v>12</v>
      </c>
      <c r="C988" s="7">
        <v>12.87</v>
      </c>
      <c r="D988" s="7">
        <v>10.5</v>
      </c>
      <c r="E988" s="8">
        <v>0</v>
      </c>
      <c r="F988" s="6">
        <v>0</v>
      </c>
      <c r="G988" s="6">
        <v>0</v>
      </c>
      <c r="H988" s="9">
        <f t="shared" si="73"/>
        <v>0</v>
      </c>
      <c r="I988" s="9">
        <v>11693</v>
      </c>
      <c r="J988" s="9">
        <v>11693</v>
      </c>
      <c r="K988" s="10">
        <v>11539</v>
      </c>
    </row>
    <row r="989" spans="1:11" ht="15.75">
      <c r="A989" s="5">
        <v>45071</v>
      </c>
      <c r="B989" s="6" t="s">
        <v>12</v>
      </c>
      <c r="C989" s="7">
        <v>13.85</v>
      </c>
      <c r="D989" s="7">
        <v>10.45</v>
      </c>
      <c r="E989" s="8">
        <v>0</v>
      </c>
      <c r="F989" s="6">
        <v>0</v>
      </c>
      <c r="G989" s="6">
        <v>0</v>
      </c>
      <c r="H989" s="9">
        <f t="shared" si="73"/>
        <v>0</v>
      </c>
      <c r="I989" s="9">
        <v>11656</v>
      </c>
      <c r="J989" s="9">
        <v>11656</v>
      </c>
      <c r="K989" s="10">
        <v>11502</v>
      </c>
    </row>
    <row r="990" spans="1:11" ht="15.75">
      <c r="A990" s="5">
        <v>45072</v>
      </c>
      <c r="B990" s="6" t="s">
        <v>12</v>
      </c>
      <c r="C990" s="7">
        <v>13.9</v>
      </c>
      <c r="D990" s="7">
        <v>10.9</v>
      </c>
      <c r="E990" s="8">
        <v>0</v>
      </c>
      <c r="F990" s="6">
        <v>0</v>
      </c>
      <c r="G990" s="6">
        <v>0</v>
      </c>
      <c r="H990" s="9">
        <f t="shared" si="73"/>
        <v>0</v>
      </c>
      <c r="I990" s="9">
        <v>8049</v>
      </c>
      <c r="J990" s="9">
        <v>8049</v>
      </c>
      <c r="K990" s="10">
        <v>8434</v>
      </c>
    </row>
    <row r="991" spans="1:11" ht="15.75">
      <c r="A991" s="5">
        <v>45073</v>
      </c>
      <c r="B991" s="6" t="s">
        <v>12</v>
      </c>
      <c r="C991" s="7">
        <v>13.99</v>
      </c>
      <c r="D991" s="7">
        <v>10.9</v>
      </c>
      <c r="E991" s="8">
        <v>0</v>
      </c>
      <c r="F991" s="6">
        <v>0</v>
      </c>
      <c r="G991" s="6">
        <v>0</v>
      </c>
      <c r="H991" s="9">
        <f t="shared" si="73"/>
        <v>0</v>
      </c>
      <c r="I991" s="9">
        <v>8170</v>
      </c>
      <c r="J991" s="9">
        <v>8170</v>
      </c>
      <c r="K991" s="9">
        <v>8865</v>
      </c>
    </row>
    <row r="992" spans="1:11" ht="15.75">
      <c r="A992" s="5">
        <v>45074</v>
      </c>
      <c r="B992" s="6" t="s">
        <v>12</v>
      </c>
      <c r="C992" s="7">
        <v>13.99</v>
      </c>
      <c r="D992" s="7">
        <v>10.9</v>
      </c>
      <c r="E992" s="8">
        <v>0</v>
      </c>
      <c r="F992" s="6">
        <v>0</v>
      </c>
      <c r="G992" s="6">
        <v>0</v>
      </c>
      <c r="H992" s="9">
        <f t="shared" si="73"/>
        <v>0</v>
      </c>
      <c r="I992" s="9">
        <v>10694</v>
      </c>
      <c r="J992" s="9">
        <v>10694</v>
      </c>
      <c r="K992" s="9">
        <v>10694</v>
      </c>
    </row>
    <row r="993" spans="1:11" ht="15.75">
      <c r="A993" s="5">
        <v>45075</v>
      </c>
      <c r="B993" s="6" t="s">
        <v>12</v>
      </c>
      <c r="C993" s="7">
        <v>13.99</v>
      </c>
      <c r="D993" s="7">
        <v>10.9</v>
      </c>
      <c r="E993" s="8">
        <v>0</v>
      </c>
      <c r="F993" s="6">
        <v>0</v>
      </c>
      <c r="G993" s="6">
        <v>0</v>
      </c>
      <c r="H993" s="9">
        <f t="shared" si="73"/>
        <v>0</v>
      </c>
      <c r="I993" s="9">
        <v>10694</v>
      </c>
      <c r="J993" s="9">
        <v>10694</v>
      </c>
      <c r="K993" s="9">
        <v>10694</v>
      </c>
    </row>
    <row r="994" spans="1:11" ht="15.75">
      <c r="A994" s="5">
        <v>45076</v>
      </c>
      <c r="B994" s="6" t="s">
        <v>12</v>
      </c>
      <c r="C994" s="7">
        <v>13.99</v>
      </c>
      <c r="D994" s="7">
        <v>10.9</v>
      </c>
      <c r="E994" s="8">
        <v>0</v>
      </c>
      <c r="F994" s="6">
        <v>0</v>
      </c>
      <c r="G994" s="6">
        <v>0</v>
      </c>
      <c r="H994" s="9">
        <f t="shared" si="73"/>
        <v>0</v>
      </c>
      <c r="I994" s="9">
        <v>10698</v>
      </c>
      <c r="J994" s="9">
        <v>10698</v>
      </c>
      <c r="K994" s="9">
        <v>10698</v>
      </c>
    </row>
    <row r="995" spans="1:11" ht="15.75">
      <c r="A995" s="5">
        <v>45077</v>
      </c>
      <c r="B995" s="6" t="s">
        <v>12</v>
      </c>
      <c r="C995" s="7">
        <v>13.98</v>
      </c>
      <c r="D995" s="7">
        <v>10.85</v>
      </c>
      <c r="E995" s="8">
        <v>0</v>
      </c>
      <c r="F995" s="6">
        <v>0</v>
      </c>
      <c r="G995" s="6">
        <v>0</v>
      </c>
      <c r="H995" s="9">
        <f t="shared" si="73"/>
        <v>0</v>
      </c>
      <c r="I995" s="9">
        <v>10663</v>
      </c>
      <c r="J995" s="9">
        <v>10663</v>
      </c>
      <c r="K995" s="9">
        <v>10509</v>
      </c>
    </row>
    <row r="996" spans="1:11" ht="15.75">
      <c r="A996" s="2" t="s">
        <v>13</v>
      </c>
      <c r="B996" s="2"/>
      <c r="C996" s="2"/>
      <c r="D996" s="2"/>
      <c r="E996" s="11">
        <f t="shared" ref="E996:K996" si="74">SUM(E965:E995)</f>
        <v>0</v>
      </c>
      <c r="F996" s="11">
        <f t="shared" si="74"/>
        <v>0</v>
      </c>
      <c r="G996" s="11">
        <f t="shared" si="74"/>
        <v>1000</v>
      </c>
      <c r="H996" s="11">
        <f t="shared" si="74"/>
        <v>1000</v>
      </c>
      <c r="I996" s="11">
        <f t="shared" si="74"/>
        <v>222592</v>
      </c>
      <c r="J996" s="11">
        <f t="shared" si="74"/>
        <v>223591</v>
      </c>
      <c r="K996" s="11">
        <f t="shared" si="74"/>
        <v>257938</v>
      </c>
    </row>
    <row r="997" spans="1:11" ht="15.75">
      <c r="A997" s="12"/>
      <c r="B997" s="2"/>
      <c r="C997" s="2"/>
      <c r="D997" s="2"/>
      <c r="E997" s="13">
        <f t="shared" ref="E997:K997" si="75">SUM(E996/11575)</f>
        <v>0</v>
      </c>
      <c r="F997" s="13">
        <f t="shared" si="75"/>
        <v>0</v>
      </c>
      <c r="G997" s="13">
        <f t="shared" si="75"/>
        <v>8.6393088552915762E-2</v>
      </c>
      <c r="H997" s="13">
        <f t="shared" si="75"/>
        <v>8.6393088552915762E-2</v>
      </c>
      <c r="I997" s="13">
        <f t="shared" si="75"/>
        <v>19.230410367170627</v>
      </c>
      <c r="J997" s="13">
        <f t="shared" si="75"/>
        <v>19.316717062634989</v>
      </c>
      <c r="K997" s="13">
        <f t="shared" si="75"/>
        <v>22.284060475161986</v>
      </c>
    </row>
    <row r="998" spans="1:11" ht="15.75">
      <c r="A998" s="1" t="s">
        <v>48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1" ht="47.25">
      <c r="A999" s="2" t="s">
        <v>1</v>
      </c>
      <c r="B999" s="2" t="s">
        <v>2</v>
      </c>
      <c r="C999" s="3" t="s">
        <v>18</v>
      </c>
      <c r="D999" s="3" t="s">
        <v>4</v>
      </c>
      <c r="E999" s="3" t="s">
        <v>5</v>
      </c>
      <c r="F999" s="3" t="s">
        <v>6</v>
      </c>
      <c r="G999" s="3" t="s">
        <v>7</v>
      </c>
      <c r="H999" s="3" t="s">
        <v>8</v>
      </c>
      <c r="I999" s="3" t="s">
        <v>9</v>
      </c>
      <c r="J999" s="3" t="s">
        <v>19</v>
      </c>
      <c r="K999" s="4" t="s">
        <v>11</v>
      </c>
    </row>
    <row r="1000" spans="1:11" ht="15.75">
      <c r="A1000" s="5">
        <v>45078</v>
      </c>
      <c r="B1000" s="6" t="s">
        <v>12</v>
      </c>
      <c r="C1000" s="7">
        <v>13.98</v>
      </c>
      <c r="D1000" s="7">
        <v>10.85</v>
      </c>
      <c r="E1000" s="8">
        <v>0</v>
      </c>
      <c r="F1000" s="8">
        <v>0</v>
      </c>
      <c r="G1000" s="8">
        <v>0</v>
      </c>
      <c r="H1000" s="14">
        <f>E1000+F1000+G1000</f>
        <v>0</v>
      </c>
      <c r="I1000" s="9">
        <v>8783</v>
      </c>
      <c r="J1000" s="9">
        <v>8783</v>
      </c>
      <c r="K1000" s="10">
        <v>8783</v>
      </c>
    </row>
    <row r="1001" spans="1:11" ht="15.75">
      <c r="A1001" s="5">
        <v>45079</v>
      </c>
      <c r="B1001" s="6" t="s">
        <v>12</v>
      </c>
      <c r="C1001" s="7">
        <v>13.99</v>
      </c>
      <c r="D1001" s="7">
        <v>10.9</v>
      </c>
      <c r="E1001" s="8">
        <v>300</v>
      </c>
      <c r="F1001" s="6">
        <v>50</v>
      </c>
      <c r="G1001" s="8">
        <v>50</v>
      </c>
      <c r="H1001" s="9">
        <f t="shared" ref="H1001:H1029" si="76">E1001+F1001+G1001</f>
        <v>400</v>
      </c>
      <c r="I1001" s="9">
        <v>8809</v>
      </c>
      <c r="J1001" s="9">
        <v>9209</v>
      </c>
      <c r="K1001" s="10">
        <v>9363</v>
      </c>
    </row>
    <row r="1002" spans="1:11" ht="15.75">
      <c r="A1002" s="5">
        <v>45080</v>
      </c>
      <c r="B1002" s="6" t="s">
        <v>12</v>
      </c>
      <c r="C1002" s="7">
        <v>13.99</v>
      </c>
      <c r="D1002" s="7">
        <v>10.9</v>
      </c>
      <c r="E1002" s="8">
        <v>800</v>
      </c>
      <c r="F1002" s="6">
        <v>50</v>
      </c>
      <c r="G1002" s="8">
        <v>50</v>
      </c>
      <c r="H1002" s="9">
        <f t="shared" si="76"/>
        <v>900</v>
      </c>
      <c r="I1002" s="9">
        <v>8809</v>
      </c>
      <c r="J1002" s="9">
        <v>9709</v>
      </c>
      <c r="K1002" s="10">
        <v>9709</v>
      </c>
    </row>
    <row r="1003" spans="1:11" ht="15.75">
      <c r="A1003" s="5">
        <v>45081</v>
      </c>
      <c r="B1003" s="6" t="s">
        <v>12</v>
      </c>
      <c r="C1003" s="7">
        <v>13.98</v>
      </c>
      <c r="D1003" s="7">
        <v>10.85</v>
      </c>
      <c r="E1003" s="8">
        <v>800</v>
      </c>
      <c r="F1003" s="6">
        <v>50</v>
      </c>
      <c r="G1003" s="8">
        <v>50</v>
      </c>
      <c r="H1003" s="9">
        <f t="shared" si="76"/>
        <v>900</v>
      </c>
      <c r="I1003" s="9">
        <v>10039</v>
      </c>
      <c r="J1003" s="9">
        <v>10939</v>
      </c>
      <c r="K1003" s="10">
        <v>10785</v>
      </c>
    </row>
    <row r="1004" spans="1:11" ht="15.75">
      <c r="A1004" s="5">
        <v>45082</v>
      </c>
      <c r="B1004" s="6" t="s">
        <v>12</v>
      </c>
      <c r="C1004" s="7">
        <v>13.96</v>
      </c>
      <c r="D1004" s="7">
        <v>10.8</v>
      </c>
      <c r="E1004" s="8">
        <v>800</v>
      </c>
      <c r="F1004" s="6">
        <v>50</v>
      </c>
      <c r="G1004" s="8">
        <v>500</v>
      </c>
      <c r="H1004" s="9">
        <f t="shared" si="76"/>
        <v>1350</v>
      </c>
      <c r="I1004" s="9">
        <v>9390</v>
      </c>
      <c r="J1004" s="9">
        <v>10740</v>
      </c>
      <c r="K1004" s="9">
        <v>10662</v>
      </c>
    </row>
    <row r="1005" spans="1:11" ht="15.75">
      <c r="A1005" s="5">
        <v>45083</v>
      </c>
      <c r="B1005" s="6" t="s">
        <v>12</v>
      </c>
      <c r="C1005" s="7">
        <v>13.96</v>
      </c>
      <c r="D1005" s="7">
        <v>10.8</v>
      </c>
      <c r="E1005" s="8">
        <v>1300</v>
      </c>
      <c r="F1005" s="6">
        <v>50</v>
      </c>
      <c r="G1005" s="8">
        <v>4000</v>
      </c>
      <c r="H1005" s="9">
        <f t="shared" si="76"/>
        <v>5350</v>
      </c>
      <c r="I1005" s="9">
        <v>5014</v>
      </c>
      <c r="J1005" s="9">
        <v>10364</v>
      </c>
      <c r="K1005" s="10">
        <v>10364</v>
      </c>
    </row>
    <row r="1006" spans="1:11" ht="15.75">
      <c r="A1006" s="5">
        <v>45084</v>
      </c>
      <c r="B1006" s="6" t="s">
        <v>12</v>
      </c>
      <c r="C1006" s="7" t="s">
        <v>49</v>
      </c>
      <c r="D1006" s="7">
        <v>10.9</v>
      </c>
      <c r="E1006" s="8">
        <v>1500</v>
      </c>
      <c r="F1006" s="6">
        <v>50</v>
      </c>
      <c r="G1006" s="8">
        <v>4000</v>
      </c>
      <c r="H1006" s="9">
        <f t="shared" si="76"/>
        <v>5550</v>
      </c>
      <c r="I1006" s="9">
        <v>630</v>
      </c>
      <c r="J1006" s="9">
        <v>6180</v>
      </c>
      <c r="K1006" s="10">
        <v>6412</v>
      </c>
    </row>
    <row r="1007" spans="1:11" ht="15.75">
      <c r="A1007" s="5">
        <v>45085</v>
      </c>
      <c r="B1007" s="6" t="s">
        <v>12</v>
      </c>
      <c r="C1007" s="7">
        <v>13.99</v>
      </c>
      <c r="D1007" s="7">
        <v>10.9</v>
      </c>
      <c r="E1007" s="8">
        <v>1500</v>
      </c>
      <c r="F1007" s="6">
        <v>150</v>
      </c>
      <c r="G1007" s="8">
        <v>4000</v>
      </c>
      <c r="H1007" s="9">
        <f t="shared" si="76"/>
        <v>5650</v>
      </c>
      <c r="I1007" s="9">
        <v>630</v>
      </c>
      <c r="J1007" s="9">
        <v>6280</v>
      </c>
      <c r="K1007" s="10">
        <v>6280</v>
      </c>
    </row>
    <row r="1008" spans="1:11" ht="15.75">
      <c r="A1008" s="5">
        <v>45086</v>
      </c>
      <c r="B1008" s="6" t="s">
        <v>12</v>
      </c>
      <c r="C1008" s="7">
        <v>13.99</v>
      </c>
      <c r="D1008" s="7">
        <v>10.9</v>
      </c>
      <c r="E1008" s="8">
        <v>2000</v>
      </c>
      <c r="F1008" s="6">
        <v>500</v>
      </c>
      <c r="G1008" s="8">
        <v>4000</v>
      </c>
      <c r="H1008" s="9">
        <f t="shared" si="76"/>
        <v>6500</v>
      </c>
      <c r="I1008" s="9">
        <v>0</v>
      </c>
      <c r="J1008" s="9">
        <v>6500</v>
      </c>
      <c r="K1008" s="10">
        <v>6500</v>
      </c>
    </row>
    <row r="1009" spans="1:11" ht="15.75">
      <c r="A1009" s="5">
        <v>45087</v>
      </c>
      <c r="B1009" s="6" t="s">
        <v>12</v>
      </c>
      <c r="C1009" s="7">
        <v>13.99</v>
      </c>
      <c r="D1009" s="7">
        <v>10.9</v>
      </c>
      <c r="E1009" s="8">
        <v>2000</v>
      </c>
      <c r="F1009" s="6">
        <v>1000</v>
      </c>
      <c r="G1009" s="8">
        <v>4000</v>
      </c>
      <c r="H1009" s="9">
        <f t="shared" si="76"/>
        <v>7000</v>
      </c>
      <c r="I1009" s="9">
        <v>0</v>
      </c>
      <c r="J1009" s="10">
        <v>7000</v>
      </c>
      <c r="K1009" s="16">
        <v>7000</v>
      </c>
    </row>
    <row r="1010" spans="1:11" ht="15.75">
      <c r="A1010" s="5">
        <v>45088</v>
      </c>
      <c r="B1010" s="6" t="s">
        <v>12</v>
      </c>
      <c r="C1010" s="7">
        <v>13.99</v>
      </c>
      <c r="D1010" s="7">
        <v>10.9</v>
      </c>
      <c r="E1010" s="8">
        <v>2000</v>
      </c>
      <c r="F1010" s="6">
        <v>1300</v>
      </c>
      <c r="G1010" s="8">
        <v>4000</v>
      </c>
      <c r="H1010" s="9">
        <f t="shared" si="76"/>
        <v>7300</v>
      </c>
      <c r="I1010" s="9">
        <v>0</v>
      </c>
      <c r="J1010" s="9">
        <v>7300</v>
      </c>
      <c r="K1010" s="10">
        <v>7300</v>
      </c>
    </row>
    <row r="1011" spans="1:11" ht="15.75">
      <c r="A1011" s="5">
        <v>45089</v>
      </c>
      <c r="B1011" s="6" t="s">
        <v>12</v>
      </c>
      <c r="C1011" s="7">
        <v>13.96</v>
      </c>
      <c r="D1011" s="7">
        <v>10.8</v>
      </c>
      <c r="E1011" s="8">
        <v>2500</v>
      </c>
      <c r="F1011" s="8">
        <v>1500</v>
      </c>
      <c r="G1011" s="6">
        <v>4000</v>
      </c>
      <c r="H1011" s="9">
        <f t="shared" si="76"/>
        <v>8000</v>
      </c>
      <c r="I1011" s="9">
        <v>0</v>
      </c>
      <c r="J1011" s="9">
        <v>8000</v>
      </c>
      <c r="K1011" s="10">
        <v>7768</v>
      </c>
    </row>
    <row r="1012" spans="1:11" ht="15.75">
      <c r="A1012" s="5">
        <v>45090</v>
      </c>
      <c r="B1012" s="6" t="s">
        <v>12</v>
      </c>
      <c r="C1012" s="7">
        <v>13.89</v>
      </c>
      <c r="D1012" s="7">
        <v>10.55</v>
      </c>
      <c r="E1012" s="8">
        <v>2300</v>
      </c>
      <c r="F1012" s="6">
        <v>1400</v>
      </c>
      <c r="G1012" s="8">
        <v>3700</v>
      </c>
      <c r="H1012" s="9">
        <f t="shared" si="76"/>
        <v>7400</v>
      </c>
      <c r="I1012" s="9">
        <v>0</v>
      </c>
      <c r="J1012" s="9">
        <v>7400</v>
      </c>
      <c r="K1012" s="10">
        <v>6859</v>
      </c>
    </row>
    <row r="1013" spans="1:11" ht="15.75">
      <c r="A1013" s="5">
        <v>45091</v>
      </c>
      <c r="B1013" s="6" t="s">
        <v>12</v>
      </c>
      <c r="C1013" s="7">
        <v>13.82</v>
      </c>
      <c r="D1013" s="7">
        <v>10.35</v>
      </c>
      <c r="E1013" s="8">
        <v>1875</v>
      </c>
      <c r="F1013" s="6">
        <v>1345</v>
      </c>
      <c r="G1013" s="6">
        <v>3535</v>
      </c>
      <c r="H1013" s="9">
        <f t="shared" si="76"/>
        <v>6755</v>
      </c>
      <c r="I1013" s="9">
        <v>0</v>
      </c>
      <c r="J1013" s="9">
        <v>6755</v>
      </c>
      <c r="K1013" s="10">
        <v>6216</v>
      </c>
    </row>
    <row r="1014" spans="1:11" ht="15.75">
      <c r="A1014" s="5">
        <v>45092</v>
      </c>
      <c r="B1014" s="6" t="s">
        <v>12</v>
      </c>
      <c r="C1014" s="7">
        <v>13.75</v>
      </c>
      <c r="D1014" s="7">
        <v>10.1</v>
      </c>
      <c r="E1014" s="8">
        <v>1875</v>
      </c>
      <c r="F1014" s="6">
        <v>1345</v>
      </c>
      <c r="G1014" s="6">
        <v>3535</v>
      </c>
      <c r="H1014" s="9">
        <f t="shared" si="76"/>
        <v>6755</v>
      </c>
      <c r="I1014" s="9">
        <v>0</v>
      </c>
      <c r="J1014" s="9">
        <v>6755</v>
      </c>
      <c r="K1014" s="10">
        <v>6214</v>
      </c>
    </row>
    <row r="1015" spans="1:11" ht="15.75">
      <c r="A1015" s="5">
        <v>45093</v>
      </c>
      <c r="B1015" s="6" t="s">
        <v>12</v>
      </c>
      <c r="C1015" s="7">
        <v>13.67</v>
      </c>
      <c r="D1015" s="7">
        <v>9.85</v>
      </c>
      <c r="E1015" s="8">
        <v>1875</v>
      </c>
      <c r="F1015" s="6">
        <v>1345</v>
      </c>
      <c r="G1015" s="6">
        <v>3535</v>
      </c>
      <c r="H1015" s="9">
        <f t="shared" si="76"/>
        <v>6755</v>
      </c>
      <c r="I1015" s="9">
        <v>0</v>
      </c>
      <c r="J1015" s="9">
        <v>6755</v>
      </c>
      <c r="K1015" s="10">
        <v>6138</v>
      </c>
    </row>
    <row r="1016" spans="1:11" ht="15.75">
      <c r="A1016" s="5">
        <v>45094</v>
      </c>
      <c r="B1016" s="6" t="s">
        <v>12</v>
      </c>
      <c r="C1016" s="7">
        <v>13.61</v>
      </c>
      <c r="D1016" s="7">
        <v>9.65</v>
      </c>
      <c r="E1016" s="8">
        <v>1700</v>
      </c>
      <c r="F1016" s="6">
        <v>1225</v>
      </c>
      <c r="G1016" s="6">
        <v>3210</v>
      </c>
      <c r="H1016" s="9">
        <f t="shared" si="76"/>
        <v>6135</v>
      </c>
      <c r="I1016" s="9">
        <v>0</v>
      </c>
      <c r="J1016" s="9">
        <v>6135</v>
      </c>
      <c r="K1016" s="10">
        <v>5672</v>
      </c>
    </row>
    <row r="1017" spans="1:11" ht="15.75">
      <c r="A1017" s="5">
        <v>45095</v>
      </c>
      <c r="B1017" s="6" t="s">
        <v>12</v>
      </c>
      <c r="C1017" s="7">
        <v>13.55</v>
      </c>
      <c r="D1017" s="7">
        <v>9.4499999999999993</v>
      </c>
      <c r="E1017" s="8">
        <v>1590</v>
      </c>
      <c r="F1017" s="6">
        <v>1140</v>
      </c>
      <c r="G1017" s="6">
        <v>3000</v>
      </c>
      <c r="H1017" s="9">
        <f t="shared" si="76"/>
        <v>5730</v>
      </c>
      <c r="I1017" s="9">
        <v>0</v>
      </c>
      <c r="J1017" s="9">
        <v>5730</v>
      </c>
      <c r="K1017" s="10">
        <v>5267</v>
      </c>
    </row>
    <row r="1018" spans="1:11" ht="15.75">
      <c r="A1018" s="5">
        <v>45096</v>
      </c>
      <c r="B1018" s="6" t="s">
        <v>12</v>
      </c>
      <c r="C1018" s="7">
        <v>13.5</v>
      </c>
      <c r="D1018" s="7">
        <v>9.3000000000000007</v>
      </c>
      <c r="E1018" s="8">
        <v>1590</v>
      </c>
      <c r="F1018" s="6">
        <v>1140</v>
      </c>
      <c r="G1018" s="6">
        <v>3000</v>
      </c>
      <c r="H1018" s="9">
        <f t="shared" si="76"/>
        <v>5730</v>
      </c>
      <c r="I1018" s="9">
        <v>0</v>
      </c>
      <c r="J1018" s="9">
        <v>5730</v>
      </c>
      <c r="K1018" s="10">
        <v>5345</v>
      </c>
    </row>
    <row r="1019" spans="1:11" ht="15.75">
      <c r="A1019" s="5">
        <v>45097</v>
      </c>
      <c r="B1019" s="6" t="s">
        <v>12</v>
      </c>
      <c r="C1019" s="7">
        <v>13.44</v>
      </c>
      <c r="D1019" s="7">
        <v>9.15</v>
      </c>
      <c r="E1019" s="8">
        <v>1590</v>
      </c>
      <c r="F1019" s="6">
        <v>1140</v>
      </c>
      <c r="G1019" s="6">
        <v>3000</v>
      </c>
      <c r="H1019" s="9">
        <f t="shared" si="76"/>
        <v>5730</v>
      </c>
      <c r="I1019" s="9">
        <v>0</v>
      </c>
      <c r="J1019" s="9">
        <v>5730</v>
      </c>
      <c r="K1019" s="10">
        <v>5267</v>
      </c>
    </row>
    <row r="1020" spans="1:11" ht="15.75">
      <c r="A1020" s="5">
        <v>45098</v>
      </c>
      <c r="B1020" s="6" t="s">
        <v>12</v>
      </c>
      <c r="C1020" s="7">
        <v>13.41</v>
      </c>
      <c r="D1020" s="7">
        <v>9</v>
      </c>
      <c r="E1020" s="8">
        <v>1590</v>
      </c>
      <c r="F1020" s="6">
        <v>1140</v>
      </c>
      <c r="G1020" s="6">
        <v>3000</v>
      </c>
      <c r="H1020" s="9">
        <f t="shared" si="76"/>
        <v>5730</v>
      </c>
      <c r="I1020" s="9">
        <v>0</v>
      </c>
      <c r="J1020" s="9">
        <v>5730</v>
      </c>
      <c r="K1020" s="10">
        <v>5498</v>
      </c>
    </row>
    <row r="1021" spans="1:11" ht="15.75">
      <c r="A1021" s="5">
        <v>45099</v>
      </c>
      <c r="B1021" s="6" t="s">
        <v>12</v>
      </c>
      <c r="C1021" s="7">
        <v>13.37</v>
      </c>
      <c r="D1021" s="7">
        <v>8.85</v>
      </c>
      <c r="E1021" s="8">
        <v>1590</v>
      </c>
      <c r="F1021" s="6">
        <v>1140</v>
      </c>
      <c r="G1021" s="6">
        <v>3000</v>
      </c>
      <c r="H1021" s="9">
        <f t="shared" si="76"/>
        <v>5730</v>
      </c>
      <c r="I1021" s="9">
        <v>0</v>
      </c>
      <c r="J1021" s="9">
        <v>5730</v>
      </c>
      <c r="K1021" s="10">
        <v>5421</v>
      </c>
    </row>
    <row r="1022" spans="1:11" ht="15.75">
      <c r="A1022" s="5">
        <v>45100</v>
      </c>
      <c r="B1022" s="6" t="s">
        <v>12</v>
      </c>
      <c r="C1022" s="7">
        <v>13.34</v>
      </c>
      <c r="D1022" s="7">
        <v>8.75</v>
      </c>
      <c r="E1022" s="8">
        <v>1590</v>
      </c>
      <c r="F1022" s="6">
        <v>1140</v>
      </c>
      <c r="G1022" s="6">
        <v>3000</v>
      </c>
      <c r="H1022" s="9">
        <f t="shared" si="76"/>
        <v>5730</v>
      </c>
      <c r="I1022" s="9">
        <v>0</v>
      </c>
      <c r="J1022" s="9">
        <v>5730</v>
      </c>
      <c r="K1022" s="10">
        <v>5498</v>
      </c>
    </row>
    <row r="1023" spans="1:11" ht="15.75">
      <c r="A1023" s="5">
        <v>45101</v>
      </c>
      <c r="B1023" s="6" t="s">
        <v>12</v>
      </c>
      <c r="C1023" s="7">
        <v>13.29</v>
      </c>
      <c r="D1023" s="7">
        <v>8.6</v>
      </c>
      <c r="E1023" s="8">
        <v>1590</v>
      </c>
      <c r="F1023" s="6">
        <v>1140</v>
      </c>
      <c r="G1023" s="6">
        <v>3000</v>
      </c>
      <c r="H1023" s="9">
        <f t="shared" si="76"/>
        <v>5730</v>
      </c>
      <c r="I1023" s="9">
        <v>0</v>
      </c>
      <c r="J1023" s="9">
        <v>5730</v>
      </c>
      <c r="K1023" s="10">
        <v>5350</v>
      </c>
    </row>
    <row r="1024" spans="1:11" ht="15.75">
      <c r="A1024" s="5">
        <v>45102</v>
      </c>
      <c r="B1024" s="6" t="s">
        <v>12</v>
      </c>
      <c r="C1024" s="7">
        <v>13.28</v>
      </c>
      <c r="D1024" s="7">
        <v>8.5500000000000007</v>
      </c>
      <c r="E1024" s="8">
        <v>1590</v>
      </c>
      <c r="F1024" s="6">
        <v>1140</v>
      </c>
      <c r="G1024" s="6">
        <v>3000</v>
      </c>
      <c r="H1024" s="9">
        <f t="shared" si="76"/>
        <v>5730</v>
      </c>
      <c r="I1024" s="9">
        <v>0</v>
      </c>
      <c r="J1024" s="9">
        <v>5730</v>
      </c>
      <c r="K1024" s="10">
        <v>5655</v>
      </c>
    </row>
    <row r="1025" spans="1:11" ht="15.75">
      <c r="A1025" s="5">
        <v>45103</v>
      </c>
      <c r="B1025" s="6" t="s">
        <v>12</v>
      </c>
      <c r="C1025" s="7">
        <v>13.29</v>
      </c>
      <c r="D1025" s="7">
        <v>8.6</v>
      </c>
      <c r="E1025" s="8">
        <v>1590</v>
      </c>
      <c r="F1025" s="6">
        <v>1140</v>
      </c>
      <c r="G1025" s="6">
        <v>3000</v>
      </c>
      <c r="H1025" s="9">
        <f t="shared" si="76"/>
        <v>5730</v>
      </c>
      <c r="I1025" s="9">
        <v>0</v>
      </c>
      <c r="J1025" s="9">
        <v>5730</v>
      </c>
      <c r="K1025" s="10">
        <v>5805</v>
      </c>
    </row>
    <row r="1026" spans="1:11" ht="15.75">
      <c r="A1026" s="5">
        <v>45104</v>
      </c>
      <c r="B1026" s="6" t="s">
        <v>12</v>
      </c>
      <c r="C1026" s="7">
        <v>13.32</v>
      </c>
      <c r="D1026" s="7">
        <v>8.6999999999999993</v>
      </c>
      <c r="E1026" s="8">
        <v>1590</v>
      </c>
      <c r="F1026" s="6">
        <v>1140</v>
      </c>
      <c r="G1026" s="6">
        <v>3000</v>
      </c>
      <c r="H1026" s="9">
        <f t="shared" si="76"/>
        <v>5730</v>
      </c>
      <c r="I1026" s="9">
        <v>0</v>
      </c>
      <c r="J1026" s="9">
        <v>5730</v>
      </c>
      <c r="K1026" s="9">
        <v>5958</v>
      </c>
    </row>
    <row r="1027" spans="1:11" ht="15.75">
      <c r="A1027" s="5">
        <v>45105</v>
      </c>
      <c r="B1027" s="6" t="s">
        <v>12</v>
      </c>
      <c r="C1027" s="7">
        <v>13.32</v>
      </c>
      <c r="D1027" s="7">
        <v>8.6999999999999993</v>
      </c>
      <c r="E1027" s="8">
        <v>1860</v>
      </c>
      <c r="F1027" s="6">
        <v>1340</v>
      </c>
      <c r="G1027" s="6">
        <v>3500</v>
      </c>
      <c r="H1027" s="9">
        <f t="shared" si="76"/>
        <v>6700</v>
      </c>
      <c r="I1027" s="9">
        <v>0</v>
      </c>
      <c r="J1027" s="9">
        <v>6700</v>
      </c>
      <c r="K1027" s="9">
        <v>6700</v>
      </c>
    </row>
    <row r="1028" spans="1:11" ht="15.75">
      <c r="A1028" s="5">
        <v>45106</v>
      </c>
      <c r="B1028" s="6" t="s">
        <v>12</v>
      </c>
      <c r="C1028" s="7">
        <v>13.31</v>
      </c>
      <c r="D1028" s="7">
        <v>8.65</v>
      </c>
      <c r="E1028" s="8">
        <v>2130</v>
      </c>
      <c r="F1028" s="6">
        <v>1530</v>
      </c>
      <c r="G1028" s="6">
        <v>4000</v>
      </c>
      <c r="H1028" s="9">
        <f t="shared" si="76"/>
        <v>7660</v>
      </c>
      <c r="I1028" s="9">
        <v>0</v>
      </c>
      <c r="J1028" s="9">
        <v>7660</v>
      </c>
      <c r="K1028" s="9">
        <v>7584</v>
      </c>
    </row>
    <row r="1029" spans="1:11" ht="15.75">
      <c r="A1029" s="5">
        <v>45107</v>
      </c>
      <c r="B1029" s="6" t="s">
        <v>12</v>
      </c>
      <c r="C1029" s="7">
        <v>13.29</v>
      </c>
      <c r="D1029" s="7">
        <v>8.6</v>
      </c>
      <c r="E1029" s="8">
        <v>2130</v>
      </c>
      <c r="F1029" s="6">
        <v>1560</v>
      </c>
      <c r="G1029" s="6">
        <v>4000</v>
      </c>
      <c r="H1029" s="9">
        <f t="shared" si="76"/>
        <v>7690</v>
      </c>
      <c r="I1029" s="9">
        <v>0</v>
      </c>
      <c r="J1029" s="9">
        <v>7660</v>
      </c>
      <c r="K1029" s="9">
        <v>7508</v>
      </c>
    </row>
    <row r="1030" spans="1:11" ht="15.75">
      <c r="A1030" s="2" t="s">
        <v>13</v>
      </c>
      <c r="B1030" s="2"/>
      <c r="C1030" s="2"/>
      <c r="D1030" s="2"/>
      <c r="E1030" s="11">
        <f t="shared" ref="E1030:K1030" si="77">SUM(E1000:E1029)</f>
        <v>47145</v>
      </c>
      <c r="F1030" s="11">
        <f t="shared" si="77"/>
        <v>27240</v>
      </c>
      <c r="G1030" s="11">
        <f t="shared" si="77"/>
        <v>87665</v>
      </c>
      <c r="H1030" s="11">
        <f t="shared" si="77"/>
        <v>162050</v>
      </c>
      <c r="I1030" s="11">
        <f t="shared" si="77"/>
        <v>52104</v>
      </c>
      <c r="J1030" s="11">
        <f t="shared" si="77"/>
        <v>214124</v>
      </c>
      <c r="K1030" s="11">
        <f t="shared" si="77"/>
        <v>208881</v>
      </c>
    </row>
    <row r="1031" spans="1:11" ht="15.75">
      <c r="A1031" s="12"/>
      <c r="B1031" s="2"/>
      <c r="C1031" s="2"/>
      <c r="D1031" s="2"/>
      <c r="E1031" s="13">
        <f t="shared" ref="E1031:K1031" si="78">SUM(E1030/11575)</f>
        <v>4.0730021598272135</v>
      </c>
      <c r="F1031" s="13">
        <f t="shared" si="78"/>
        <v>2.3533477321814256</v>
      </c>
      <c r="G1031" s="13">
        <f t="shared" si="78"/>
        <v>7.5736501079913605</v>
      </c>
      <c r="H1031" s="13">
        <f t="shared" si="78"/>
        <v>14</v>
      </c>
      <c r="I1031" s="13">
        <f t="shared" si="78"/>
        <v>4.5014254859611231</v>
      </c>
      <c r="J1031" s="13">
        <f t="shared" si="78"/>
        <v>18.498833693304537</v>
      </c>
      <c r="K1031" s="13">
        <f t="shared" si="78"/>
        <v>18.045874730021598</v>
      </c>
    </row>
    <row r="1032" spans="1:11" ht="15.75">
      <c r="A1032" s="1" t="s">
        <v>50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</row>
    <row r="1033" spans="1:11" ht="47.25">
      <c r="A1033" s="2" t="s">
        <v>1</v>
      </c>
      <c r="B1033" s="2" t="s">
        <v>2</v>
      </c>
      <c r="C1033" s="3" t="s">
        <v>18</v>
      </c>
      <c r="D1033" s="3" t="s">
        <v>4</v>
      </c>
      <c r="E1033" s="3" t="s">
        <v>5</v>
      </c>
      <c r="F1033" s="3" t="s">
        <v>6</v>
      </c>
      <c r="G1033" s="3" t="s">
        <v>7</v>
      </c>
      <c r="H1033" s="3" t="s">
        <v>8</v>
      </c>
      <c r="I1033" s="3" t="s">
        <v>9</v>
      </c>
      <c r="J1033" s="3" t="s">
        <v>19</v>
      </c>
      <c r="K1033" s="4" t="s">
        <v>11</v>
      </c>
    </row>
    <row r="1034" spans="1:11" ht="15.75">
      <c r="A1034" s="5">
        <v>45108</v>
      </c>
      <c r="B1034" s="6" t="s">
        <v>12</v>
      </c>
      <c r="C1034" s="7">
        <v>13.28</v>
      </c>
      <c r="D1034" s="7">
        <v>8.5500000000000007</v>
      </c>
      <c r="E1034" s="8">
        <v>2130</v>
      </c>
      <c r="F1034" s="8">
        <v>1530</v>
      </c>
      <c r="G1034" s="8">
        <v>4000</v>
      </c>
      <c r="H1034" s="14">
        <f>E1034+F1034+G1034</f>
        <v>7660</v>
      </c>
      <c r="I1034" s="9">
        <v>0</v>
      </c>
      <c r="J1034" s="9">
        <v>7660</v>
      </c>
      <c r="K1034" s="10">
        <v>7585</v>
      </c>
    </row>
    <row r="1035" spans="1:11" ht="15.75">
      <c r="A1035" s="5">
        <v>45109</v>
      </c>
      <c r="B1035" s="6" t="s">
        <v>12</v>
      </c>
      <c r="C1035" s="7">
        <v>13.28</v>
      </c>
      <c r="D1035" s="7">
        <v>8.5500000000000007</v>
      </c>
      <c r="E1035" s="8">
        <v>2130</v>
      </c>
      <c r="F1035" s="6">
        <v>1530</v>
      </c>
      <c r="G1035" s="8">
        <v>4000</v>
      </c>
      <c r="H1035" s="9">
        <f t="shared" ref="H1035:H1064" si="79">E1035+F1035+G1035</f>
        <v>7660</v>
      </c>
      <c r="I1035" s="9">
        <v>0</v>
      </c>
      <c r="J1035" s="9">
        <v>7660</v>
      </c>
      <c r="K1035" s="10">
        <v>7660</v>
      </c>
    </row>
    <row r="1036" spans="1:11" ht="15.75">
      <c r="A1036" s="5">
        <v>45110</v>
      </c>
      <c r="B1036" s="6" t="s">
        <v>12</v>
      </c>
      <c r="C1036" s="7">
        <v>13.26</v>
      </c>
      <c r="D1036" s="7">
        <v>8.5</v>
      </c>
      <c r="E1036" s="8">
        <v>2130</v>
      </c>
      <c r="F1036" s="6">
        <v>1530</v>
      </c>
      <c r="G1036" s="8">
        <v>4000</v>
      </c>
      <c r="H1036" s="9">
        <f t="shared" si="79"/>
        <v>7660</v>
      </c>
      <c r="I1036" s="9">
        <v>0</v>
      </c>
      <c r="J1036" s="9">
        <v>7660</v>
      </c>
      <c r="K1036" s="10">
        <v>7507</v>
      </c>
    </row>
    <row r="1037" spans="1:11" ht="15.75">
      <c r="A1037" s="5">
        <v>45111</v>
      </c>
      <c r="B1037" s="6" t="s">
        <v>12</v>
      </c>
      <c r="C1037" s="7">
        <v>13.25</v>
      </c>
      <c r="D1037" s="7">
        <v>8.4499999999999993</v>
      </c>
      <c r="E1037" s="8">
        <v>2250</v>
      </c>
      <c r="F1037" s="6">
        <v>1615</v>
      </c>
      <c r="G1037" s="8">
        <v>4240</v>
      </c>
      <c r="H1037" s="9">
        <f t="shared" si="79"/>
        <v>8105</v>
      </c>
      <c r="I1037" s="9">
        <v>0</v>
      </c>
      <c r="J1037" s="9">
        <v>8105</v>
      </c>
      <c r="K1037" s="10">
        <v>8030</v>
      </c>
    </row>
    <row r="1038" spans="1:11" ht="15.75">
      <c r="A1038" s="5">
        <v>45112</v>
      </c>
      <c r="B1038" s="6" t="s">
        <v>12</v>
      </c>
      <c r="C1038" s="7">
        <v>13.26</v>
      </c>
      <c r="D1038" s="7">
        <v>8.5</v>
      </c>
      <c r="E1038" s="8">
        <v>2250</v>
      </c>
      <c r="F1038" s="6">
        <v>1615</v>
      </c>
      <c r="G1038" s="8">
        <v>4240</v>
      </c>
      <c r="H1038" s="9">
        <f t="shared" si="79"/>
        <v>8105</v>
      </c>
      <c r="I1038" s="9">
        <v>0</v>
      </c>
      <c r="J1038" s="9">
        <v>8105</v>
      </c>
      <c r="K1038" s="9">
        <v>8180</v>
      </c>
    </row>
    <row r="1039" spans="1:11" ht="15.75">
      <c r="A1039" s="5">
        <v>45113</v>
      </c>
      <c r="B1039" s="6" t="s">
        <v>12</v>
      </c>
      <c r="C1039" s="7">
        <v>13.31</v>
      </c>
      <c r="D1039" s="7">
        <v>8.65</v>
      </c>
      <c r="E1039" s="8">
        <v>2250</v>
      </c>
      <c r="F1039" s="6">
        <v>1615</v>
      </c>
      <c r="G1039" s="8">
        <v>4240</v>
      </c>
      <c r="H1039" s="9">
        <f t="shared" si="79"/>
        <v>8105</v>
      </c>
      <c r="I1039" s="9">
        <v>0</v>
      </c>
      <c r="J1039" s="9">
        <v>8105</v>
      </c>
      <c r="K1039" s="10">
        <v>8485</v>
      </c>
    </row>
    <row r="1040" spans="1:11" ht="15.75">
      <c r="A1040" s="5">
        <v>45114</v>
      </c>
      <c r="B1040" s="6" t="s">
        <v>12</v>
      </c>
      <c r="C1040" s="7">
        <v>13.34</v>
      </c>
      <c r="D1040" s="7">
        <v>8.75</v>
      </c>
      <c r="E1040" s="8">
        <v>2250</v>
      </c>
      <c r="F1040" s="6">
        <v>1615</v>
      </c>
      <c r="G1040" s="8">
        <v>4240</v>
      </c>
      <c r="H1040" s="9">
        <f t="shared" si="79"/>
        <v>8105</v>
      </c>
      <c r="I1040" s="9">
        <v>0</v>
      </c>
      <c r="J1040" s="9">
        <v>8105</v>
      </c>
      <c r="K1040" s="10">
        <v>8333</v>
      </c>
    </row>
    <row r="1041" spans="1:11" ht="15.75">
      <c r="A1041" s="5">
        <v>45115</v>
      </c>
      <c r="B1041" s="6" t="s">
        <v>12</v>
      </c>
      <c r="C1041" s="17">
        <v>13.35</v>
      </c>
      <c r="D1041" s="7">
        <v>8.8000000000000007</v>
      </c>
      <c r="E1041" s="8">
        <v>2390</v>
      </c>
      <c r="F1041" s="6">
        <v>1710</v>
      </c>
      <c r="G1041" s="8">
        <v>4500</v>
      </c>
      <c r="H1041" s="9">
        <f t="shared" si="79"/>
        <v>8600</v>
      </c>
      <c r="I1041" s="9">
        <v>0</v>
      </c>
      <c r="J1041" s="9">
        <v>8600</v>
      </c>
      <c r="K1041" s="10">
        <v>8676</v>
      </c>
    </row>
    <row r="1042" spans="1:11" ht="15.75">
      <c r="A1042" s="5">
        <v>45116</v>
      </c>
      <c r="B1042" s="6" t="s">
        <v>12</v>
      </c>
      <c r="C1042" s="7">
        <v>13.38</v>
      </c>
      <c r="D1042" s="7">
        <v>8.9</v>
      </c>
      <c r="E1042" s="8">
        <v>2500</v>
      </c>
      <c r="F1042" s="6">
        <v>1800</v>
      </c>
      <c r="G1042" s="8">
        <v>4700</v>
      </c>
      <c r="H1042" s="9">
        <f t="shared" si="79"/>
        <v>9000</v>
      </c>
      <c r="I1042" s="9">
        <v>0</v>
      </c>
      <c r="J1042" s="9">
        <v>9000</v>
      </c>
      <c r="K1042" s="10">
        <v>9233</v>
      </c>
    </row>
    <row r="1043" spans="1:11" ht="15.75">
      <c r="A1043" s="5">
        <v>45117</v>
      </c>
      <c r="B1043" s="6" t="s">
        <v>12</v>
      </c>
      <c r="C1043" s="7">
        <v>13.38</v>
      </c>
      <c r="D1043" s="7">
        <v>8.9</v>
      </c>
      <c r="E1043" s="8">
        <v>2655</v>
      </c>
      <c r="F1043" s="6">
        <v>1905</v>
      </c>
      <c r="G1043" s="8">
        <v>5000</v>
      </c>
      <c r="H1043" s="9">
        <f t="shared" si="79"/>
        <v>9560</v>
      </c>
      <c r="I1043" s="9">
        <v>0</v>
      </c>
      <c r="J1043" s="10">
        <v>9560</v>
      </c>
      <c r="K1043" s="16">
        <v>9560</v>
      </c>
    </row>
    <row r="1044" spans="1:11" ht="15.75">
      <c r="A1044" s="5">
        <v>45118</v>
      </c>
      <c r="B1044" s="6" t="s">
        <v>12</v>
      </c>
      <c r="C1044" s="7">
        <v>13.41</v>
      </c>
      <c r="D1044" s="7">
        <v>9</v>
      </c>
      <c r="E1044" s="8">
        <v>2800</v>
      </c>
      <c r="F1044" s="6">
        <v>2000</v>
      </c>
      <c r="G1044" s="8">
        <v>5000</v>
      </c>
      <c r="H1044" s="9">
        <f t="shared" si="79"/>
        <v>9800</v>
      </c>
      <c r="I1044" s="9">
        <v>0</v>
      </c>
      <c r="J1044" s="9">
        <v>9800</v>
      </c>
      <c r="K1044" s="10">
        <v>10032</v>
      </c>
    </row>
    <row r="1045" spans="1:11" ht="15.75">
      <c r="A1045" s="5">
        <v>45119</v>
      </c>
      <c r="B1045" s="6" t="s">
        <v>12</v>
      </c>
      <c r="C1045" s="7">
        <v>13.41</v>
      </c>
      <c r="D1045" s="7">
        <v>9</v>
      </c>
      <c r="E1045" s="8">
        <v>3700</v>
      </c>
      <c r="F1045" s="8">
        <v>2600</v>
      </c>
      <c r="G1045" s="6">
        <v>6500</v>
      </c>
      <c r="H1045" s="9">
        <f t="shared" si="79"/>
        <v>12800</v>
      </c>
      <c r="I1045" s="9">
        <v>0</v>
      </c>
      <c r="J1045" s="9">
        <v>12800</v>
      </c>
      <c r="K1045" s="10">
        <v>12800</v>
      </c>
    </row>
    <row r="1046" spans="1:11" ht="15.75">
      <c r="A1046" s="5">
        <v>45120</v>
      </c>
      <c r="B1046" s="6" t="s">
        <v>12</v>
      </c>
      <c r="C1046" s="7">
        <v>13.34</v>
      </c>
      <c r="D1046" s="7">
        <v>8.75</v>
      </c>
      <c r="E1046" s="8">
        <v>3700</v>
      </c>
      <c r="F1046" s="6">
        <v>2600</v>
      </c>
      <c r="G1046" s="8">
        <v>6500</v>
      </c>
      <c r="H1046" s="9">
        <f t="shared" si="79"/>
        <v>12800</v>
      </c>
      <c r="I1046" s="9">
        <v>0</v>
      </c>
      <c r="J1046" s="9">
        <v>12800</v>
      </c>
      <c r="K1046" s="10">
        <v>12259</v>
      </c>
    </row>
    <row r="1047" spans="1:11" ht="15.75">
      <c r="A1047" s="5">
        <v>45121</v>
      </c>
      <c r="B1047" s="6" t="s">
        <v>12</v>
      </c>
      <c r="C1047" s="7">
        <v>13.4</v>
      </c>
      <c r="D1047" s="7">
        <v>8.9499999999999993</v>
      </c>
      <c r="E1047" s="8">
        <v>4000</v>
      </c>
      <c r="F1047" s="6">
        <v>2600</v>
      </c>
      <c r="G1047" s="6">
        <v>7000</v>
      </c>
      <c r="H1047" s="9">
        <f t="shared" si="79"/>
        <v>13600</v>
      </c>
      <c r="I1047" s="9">
        <v>0</v>
      </c>
      <c r="J1047" s="9">
        <v>13600</v>
      </c>
      <c r="K1047" s="10">
        <v>14063</v>
      </c>
    </row>
    <row r="1048" spans="1:11" ht="15.75">
      <c r="A1048" s="5">
        <v>45122</v>
      </c>
      <c r="B1048" s="6" t="s">
        <v>12</v>
      </c>
      <c r="C1048" s="7">
        <v>13.99</v>
      </c>
      <c r="D1048" s="7">
        <v>10.9</v>
      </c>
      <c r="E1048" s="8">
        <v>4000</v>
      </c>
      <c r="F1048" s="6">
        <v>2600</v>
      </c>
      <c r="G1048" s="6">
        <v>5000</v>
      </c>
      <c r="H1048" s="9">
        <f t="shared" si="79"/>
        <v>11600</v>
      </c>
      <c r="I1048" s="9">
        <v>72368</v>
      </c>
      <c r="J1048" s="9">
        <v>83968</v>
      </c>
      <c r="K1048" s="10">
        <v>88520</v>
      </c>
    </row>
    <row r="1049" spans="1:11" ht="15.75">
      <c r="A1049" s="5">
        <v>45123</v>
      </c>
      <c r="B1049" s="6" t="s">
        <v>12</v>
      </c>
      <c r="C1049" s="7">
        <v>13.7</v>
      </c>
      <c r="D1049" s="7">
        <v>9.9499999999999993</v>
      </c>
      <c r="E1049" s="8">
        <v>3600</v>
      </c>
      <c r="F1049" s="6">
        <v>2600</v>
      </c>
      <c r="G1049" s="6">
        <v>4000</v>
      </c>
      <c r="H1049" s="9">
        <f t="shared" si="79"/>
        <v>10200</v>
      </c>
      <c r="I1049" s="9">
        <v>127467</v>
      </c>
      <c r="J1049" s="9">
        <v>137667</v>
      </c>
      <c r="K1049" s="10">
        <v>135430</v>
      </c>
    </row>
    <row r="1050" spans="1:11" ht="15.75">
      <c r="A1050" s="5">
        <v>45124</v>
      </c>
      <c r="B1050" s="6" t="s">
        <v>12</v>
      </c>
      <c r="C1050" s="7">
        <v>13.29</v>
      </c>
      <c r="D1050" s="7">
        <v>8.6</v>
      </c>
      <c r="E1050" s="8">
        <v>4000</v>
      </c>
      <c r="F1050" s="6">
        <v>2600</v>
      </c>
      <c r="G1050" s="6">
        <v>4000</v>
      </c>
      <c r="H1050" s="9">
        <f t="shared" si="79"/>
        <v>10600</v>
      </c>
      <c r="I1050" s="9">
        <v>117419</v>
      </c>
      <c r="J1050" s="9">
        <v>128019</v>
      </c>
      <c r="K1050" s="10">
        <v>124861</v>
      </c>
    </row>
    <row r="1051" spans="1:11" ht="15.75">
      <c r="A1051" s="5">
        <v>45125</v>
      </c>
      <c r="B1051" s="6" t="s">
        <v>12</v>
      </c>
      <c r="C1051" s="7">
        <v>13.64</v>
      </c>
      <c r="D1051" s="7">
        <v>9.75</v>
      </c>
      <c r="E1051" s="8">
        <v>4000</v>
      </c>
      <c r="F1051" s="6">
        <v>2600</v>
      </c>
      <c r="G1051" s="6">
        <v>6000</v>
      </c>
      <c r="H1051" s="9">
        <f t="shared" si="79"/>
        <v>12600</v>
      </c>
      <c r="I1051" s="9">
        <v>51806</v>
      </c>
      <c r="J1051" s="9">
        <v>64406</v>
      </c>
      <c r="K1051" s="10">
        <v>67101</v>
      </c>
    </row>
    <row r="1052" spans="1:11" ht="15.75">
      <c r="A1052" s="5">
        <v>45126</v>
      </c>
      <c r="B1052" s="6" t="s">
        <v>12</v>
      </c>
      <c r="C1052" s="7">
        <v>13.6</v>
      </c>
      <c r="D1052" s="7">
        <v>9.6</v>
      </c>
      <c r="E1052" s="8">
        <v>4200</v>
      </c>
      <c r="F1052" s="6">
        <v>2600</v>
      </c>
      <c r="G1052" s="6">
        <v>6000</v>
      </c>
      <c r="H1052" s="9">
        <f t="shared" si="79"/>
        <v>12800</v>
      </c>
      <c r="I1052" s="9">
        <v>62067</v>
      </c>
      <c r="J1052" s="9">
        <v>74867</v>
      </c>
      <c r="K1052" s="10">
        <v>74558</v>
      </c>
    </row>
    <row r="1053" spans="1:11" ht="15.75">
      <c r="A1053" s="5">
        <v>45127</v>
      </c>
      <c r="B1053" s="6" t="s">
        <v>12</v>
      </c>
      <c r="C1053" s="7">
        <v>13.5</v>
      </c>
      <c r="D1053" s="7">
        <v>9.3000000000000007</v>
      </c>
      <c r="E1053" s="8">
        <v>4200</v>
      </c>
      <c r="F1053" s="6">
        <v>2600</v>
      </c>
      <c r="G1053" s="6">
        <v>6500</v>
      </c>
      <c r="H1053" s="9">
        <f t="shared" si="79"/>
        <v>13300</v>
      </c>
      <c r="I1053" s="9">
        <v>416719</v>
      </c>
      <c r="J1053" s="9">
        <v>430019</v>
      </c>
      <c r="K1053" s="10">
        <v>429248</v>
      </c>
    </row>
    <row r="1054" spans="1:11" ht="15.75">
      <c r="A1054" s="5">
        <v>45128</v>
      </c>
      <c r="B1054" s="6" t="s">
        <v>12</v>
      </c>
      <c r="C1054" s="7">
        <v>13.96</v>
      </c>
      <c r="D1054" s="7">
        <v>10.8</v>
      </c>
      <c r="E1054" s="8">
        <v>4000</v>
      </c>
      <c r="F1054" s="6">
        <v>2600</v>
      </c>
      <c r="G1054" s="6">
        <v>4500</v>
      </c>
      <c r="H1054" s="9">
        <f t="shared" si="79"/>
        <v>11100</v>
      </c>
      <c r="I1054" s="9">
        <v>848870</v>
      </c>
      <c r="J1054" s="9">
        <v>859970</v>
      </c>
      <c r="K1054" s="10">
        <v>863519</v>
      </c>
    </row>
    <row r="1055" spans="1:11" ht="15.75">
      <c r="A1055" s="5">
        <v>45129</v>
      </c>
      <c r="B1055" s="6" t="s">
        <v>12</v>
      </c>
      <c r="C1055" s="7">
        <v>14.17</v>
      </c>
      <c r="D1055" s="7">
        <v>11.5</v>
      </c>
      <c r="E1055" s="8">
        <v>4000</v>
      </c>
      <c r="F1055" s="6">
        <v>2600</v>
      </c>
      <c r="G1055" s="6">
        <v>4500</v>
      </c>
      <c r="H1055" s="9">
        <f t="shared" si="79"/>
        <v>11100</v>
      </c>
      <c r="I1055" s="9">
        <v>945229</v>
      </c>
      <c r="J1055" s="9">
        <v>956329</v>
      </c>
      <c r="K1055" s="10">
        <v>956792</v>
      </c>
    </row>
    <row r="1056" spans="1:11" ht="15.75">
      <c r="A1056" s="5">
        <v>45130</v>
      </c>
      <c r="B1056" s="6" t="s">
        <v>12</v>
      </c>
      <c r="C1056" s="7">
        <v>13.84</v>
      </c>
      <c r="D1056" s="7">
        <v>10.4</v>
      </c>
      <c r="E1056" s="8">
        <v>4000</v>
      </c>
      <c r="F1056" s="6">
        <v>2600</v>
      </c>
      <c r="G1056" s="6">
        <v>5500</v>
      </c>
      <c r="H1056" s="9">
        <f t="shared" si="79"/>
        <v>12100</v>
      </c>
      <c r="I1056" s="9">
        <v>796836</v>
      </c>
      <c r="J1056" s="9">
        <v>808936</v>
      </c>
      <c r="K1056" s="10">
        <v>807547</v>
      </c>
    </row>
    <row r="1057" spans="1:11" ht="15.75">
      <c r="A1057" s="5">
        <v>45131</v>
      </c>
      <c r="B1057" s="6" t="s">
        <v>12</v>
      </c>
      <c r="C1057" s="7">
        <v>14.05</v>
      </c>
      <c r="D1057" s="7">
        <v>11.1</v>
      </c>
      <c r="E1057" s="8">
        <v>4000</v>
      </c>
      <c r="F1057" s="6">
        <v>2600</v>
      </c>
      <c r="G1057" s="6">
        <v>5500</v>
      </c>
      <c r="H1057" s="9">
        <f t="shared" si="79"/>
        <v>12100</v>
      </c>
      <c r="I1057" s="9">
        <v>898835</v>
      </c>
      <c r="J1057" s="9">
        <v>910935</v>
      </c>
      <c r="K1057" s="10">
        <v>912324</v>
      </c>
    </row>
    <row r="1058" spans="1:11" ht="15.75">
      <c r="A1058" s="5">
        <v>45132</v>
      </c>
      <c r="B1058" s="6" t="s">
        <v>12</v>
      </c>
      <c r="C1058" s="7">
        <v>13.81</v>
      </c>
      <c r="D1058" s="7">
        <v>10.3</v>
      </c>
      <c r="E1058" s="8">
        <v>3500</v>
      </c>
      <c r="F1058" s="6">
        <v>2400</v>
      </c>
      <c r="G1058" s="6">
        <v>5500</v>
      </c>
      <c r="H1058" s="9">
        <f t="shared" si="79"/>
        <v>11400</v>
      </c>
      <c r="I1058" s="9">
        <v>787111</v>
      </c>
      <c r="J1058" s="9">
        <v>798511</v>
      </c>
      <c r="K1058" s="10">
        <v>796890</v>
      </c>
    </row>
    <row r="1059" spans="1:11" ht="15.75">
      <c r="A1059" s="5">
        <v>45133</v>
      </c>
      <c r="B1059" s="6" t="s">
        <v>12</v>
      </c>
      <c r="C1059" s="7">
        <v>13.57</v>
      </c>
      <c r="D1059" s="7">
        <v>9.5</v>
      </c>
      <c r="E1059" s="8">
        <v>3500</v>
      </c>
      <c r="F1059" s="6">
        <v>2400</v>
      </c>
      <c r="G1059" s="6">
        <v>4000</v>
      </c>
      <c r="H1059" s="9">
        <f t="shared" si="79"/>
        <v>9900</v>
      </c>
      <c r="I1059" s="9">
        <v>684538</v>
      </c>
      <c r="J1059" s="9">
        <v>694438</v>
      </c>
      <c r="K1059" s="10">
        <v>692586</v>
      </c>
    </row>
    <row r="1060" spans="1:11" ht="15.75">
      <c r="A1060" s="5">
        <v>45134</v>
      </c>
      <c r="B1060" s="6" t="s">
        <v>12</v>
      </c>
      <c r="C1060" s="7">
        <v>14.36</v>
      </c>
      <c r="D1060" s="7">
        <v>12.1</v>
      </c>
      <c r="E1060" s="8">
        <v>2000</v>
      </c>
      <c r="F1060" s="6">
        <v>1000</v>
      </c>
      <c r="G1060" s="6">
        <v>1000</v>
      </c>
      <c r="H1060" s="9">
        <f t="shared" si="79"/>
        <v>4000</v>
      </c>
      <c r="I1060" s="9">
        <v>1028640</v>
      </c>
      <c r="J1060" s="9">
        <v>1032640</v>
      </c>
      <c r="K1060" s="9">
        <v>1036113</v>
      </c>
    </row>
    <row r="1061" spans="1:11" ht="15.75">
      <c r="A1061" s="5">
        <v>45135</v>
      </c>
      <c r="B1061" s="6" t="s">
        <v>12</v>
      </c>
      <c r="C1061" s="7">
        <v>15.03</v>
      </c>
      <c r="D1061" s="7">
        <v>14.3</v>
      </c>
      <c r="E1061" s="8">
        <v>2000</v>
      </c>
      <c r="F1061" s="6">
        <v>1000</v>
      </c>
      <c r="G1061" s="6">
        <v>1000</v>
      </c>
      <c r="H1061" s="9">
        <f t="shared" si="79"/>
        <v>4000</v>
      </c>
      <c r="I1061" s="9">
        <v>1357790</v>
      </c>
      <c r="J1061" s="9">
        <v>1361790</v>
      </c>
      <c r="K1061" s="9">
        <v>1361790</v>
      </c>
    </row>
    <row r="1062" spans="1:11" ht="15.75">
      <c r="A1062" s="5">
        <v>45136</v>
      </c>
      <c r="B1062" s="6" t="s">
        <v>12</v>
      </c>
      <c r="C1062" s="7">
        <v>15.03</v>
      </c>
      <c r="D1062" s="7">
        <v>14.3</v>
      </c>
      <c r="E1062" s="8">
        <v>2000</v>
      </c>
      <c r="F1062" s="6">
        <v>1000</v>
      </c>
      <c r="G1062" s="6">
        <v>1000</v>
      </c>
      <c r="H1062" s="9">
        <f t="shared" si="79"/>
        <v>4000</v>
      </c>
      <c r="I1062" s="9">
        <v>1354723</v>
      </c>
      <c r="J1062" s="9">
        <v>1358723</v>
      </c>
      <c r="K1062" s="9">
        <v>1358723</v>
      </c>
    </row>
    <row r="1063" spans="1:11" ht="15.75">
      <c r="A1063" s="5">
        <v>45137</v>
      </c>
      <c r="B1063" s="6" t="s">
        <v>12</v>
      </c>
      <c r="C1063" s="7">
        <v>15.39</v>
      </c>
      <c r="D1063" s="7">
        <v>15.6</v>
      </c>
      <c r="E1063" s="8">
        <v>4000</v>
      </c>
      <c r="F1063" s="6">
        <v>1500</v>
      </c>
      <c r="G1063" s="6">
        <v>3000</v>
      </c>
      <c r="H1063" s="9">
        <f t="shared" si="79"/>
        <v>8500</v>
      </c>
      <c r="I1063" s="9">
        <v>1566430</v>
      </c>
      <c r="J1063" s="9">
        <v>1574930</v>
      </c>
      <c r="K1063" s="9">
        <v>1574930</v>
      </c>
    </row>
    <row r="1064" spans="1:11" ht="15.75">
      <c r="A1064" s="5">
        <v>45138</v>
      </c>
      <c r="B1064" s="6" t="s">
        <v>12</v>
      </c>
      <c r="C1064" s="7">
        <v>15.45</v>
      </c>
      <c r="D1064" s="7">
        <v>15.7</v>
      </c>
      <c r="E1064" s="8">
        <v>4000</v>
      </c>
      <c r="F1064" s="6">
        <v>1700</v>
      </c>
      <c r="G1064" s="6">
        <v>5000</v>
      </c>
      <c r="H1064" s="9">
        <f t="shared" si="79"/>
        <v>10700</v>
      </c>
      <c r="I1064" s="9">
        <v>1587504</v>
      </c>
      <c r="J1064" s="9">
        <v>1598204</v>
      </c>
      <c r="K1064" s="9">
        <v>1598204</v>
      </c>
    </row>
    <row r="1065" spans="1:11" ht="15.75">
      <c r="A1065" s="2" t="s">
        <v>13</v>
      </c>
      <c r="B1065" s="2"/>
      <c r="C1065" s="2"/>
      <c r="D1065" s="2"/>
      <c r="E1065" s="11">
        <f t="shared" ref="E1065:K1065" si="80">SUM(E1034:E1064)</f>
        <v>98135</v>
      </c>
      <c r="F1065" s="11">
        <f t="shared" si="80"/>
        <v>63265</v>
      </c>
      <c r="G1065" s="11">
        <f t="shared" si="80"/>
        <v>140160</v>
      </c>
      <c r="H1065" s="11">
        <f t="shared" si="80"/>
        <v>301560</v>
      </c>
      <c r="I1065" s="11">
        <f t="shared" si="80"/>
        <v>12704352</v>
      </c>
      <c r="J1065" s="11">
        <f t="shared" si="80"/>
        <v>13005912</v>
      </c>
      <c r="K1065" s="11">
        <f t="shared" si="80"/>
        <v>13011539</v>
      </c>
    </row>
    <row r="1066" spans="1:11" ht="15.75">
      <c r="A1066" s="12"/>
      <c r="B1066" s="2"/>
      <c r="C1066" s="2"/>
      <c r="D1066" s="2"/>
      <c r="E1066" s="13">
        <f t="shared" ref="E1066:K1066" si="81">SUM(E1065/11575)</f>
        <v>8.4781857451403884</v>
      </c>
      <c r="F1066" s="13">
        <f t="shared" si="81"/>
        <v>5.4656587473002158</v>
      </c>
      <c r="G1066" s="13">
        <f t="shared" si="81"/>
        <v>12.108855291576674</v>
      </c>
      <c r="H1066" s="13">
        <f t="shared" si="81"/>
        <v>26.052699784017278</v>
      </c>
      <c r="I1066" s="13">
        <f t="shared" si="81"/>
        <v>1097.5682073434125</v>
      </c>
      <c r="J1066" s="13">
        <f t="shared" si="81"/>
        <v>1123.6209071274297</v>
      </c>
      <c r="K1066" s="13">
        <f t="shared" si="81"/>
        <v>1124.107041036717</v>
      </c>
    </row>
    <row r="1067" spans="1:11" ht="15.75">
      <c r="A1067" s="1" t="s">
        <v>51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</row>
    <row r="1068" spans="1:11" ht="47.25">
      <c r="A1068" s="2" t="s">
        <v>1</v>
      </c>
      <c r="B1068" s="2" t="s">
        <v>2</v>
      </c>
      <c r="C1068" s="3" t="s">
        <v>18</v>
      </c>
      <c r="D1068" s="3" t="s">
        <v>4</v>
      </c>
      <c r="E1068" s="3" t="s">
        <v>5</v>
      </c>
      <c r="F1068" s="3" t="s">
        <v>6</v>
      </c>
      <c r="G1068" s="3" t="s">
        <v>7</v>
      </c>
      <c r="H1068" s="3" t="s">
        <v>8</v>
      </c>
      <c r="I1068" s="3" t="s">
        <v>9</v>
      </c>
      <c r="J1068" s="3" t="s">
        <v>19</v>
      </c>
      <c r="K1068" s="4" t="s">
        <v>11</v>
      </c>
    </row>
    <row r="1069" spans="1:11" ht="15.75">
      <c r="A1069" s="5">
        <v>45139</v>
      </c>
      <c r="B1069" s="6" t="s">
        <v>12</v>
      </c>
      <c r="C1069" s="7">
        <v>14.66</v>
      </c>
      <c r="D1069" s="7">
        <v>13.1</v>
      </c>
      <c r="E1069" s="8">
        <v>4300</v>
      </c>
      <c r="F1069" s="8">
        <v>2000</v>
      </c>
      <c r="G1069" s="8">
        <v>5000</v>
      </c>
      <c r="H1069" s="14">
        <f>E1069+F1069+G1069</f>
        <v>11300</v>
      </c>
      <c r="I1069" s="9">
        <v>1175167</v>
      </c>
      <c r="J1069" s="9">
        <v>118646</v>
      </c>
      <c r="K1069" s="10">
        <v>1186467</v>
      </c>
    </row>
    <row r="1070" spans="1:11" ht="15.75">
      <c r="A1070" s="5">
        <v>45140</v>
      </c>
      <c r="B1070" s="6" t="s">
        <v>12</v>
      </c>
      <c r="C1070" s="7">
        <v>13.11</v>
      </c>
      <c r="D1070" s="7">
        <v>8</v>
      </c>
      <c r="E1070" s="8">
        <v>4500</v>
      </c>
      <c r="F1070" s="6">
        <v>2000</v>
      </c>
      <c r="G1070" s="8">
        <v>5000</v>
      </c>
      <c r="H1070" s="9">
        <f t="shared" ref="H1070:H1099" si="82">E1070+F1070+G1070</f>
        <v>11500</v>
      </c>
      <c r="I1070" s="9">
        <v>490948</v>
      </c>
      <c r="J1070" s="9">
        <v>502448</v>
      </c>
      <c r="K1070" s="10">
        <v>495456</v>
      </c>
    </row>
    <row r="1071" spans="1:11" ht="15.75">
      <c r="A1071" s="5">
        <v>45141</v>
      </c>
      <c r="B1071" s="6" t="s">
        <v>12</v>
      </c>
      <c r="C1071" s="7">
        <v>13.11</v>
      </c>
      <c r="D1071" s="7">
        <v>8</v>
      </c>
      <c r="E1071" s="8">
        <v>4500</v>
      </c>
      <c r="F1071" s="6">
        <v>2000</v>
      </c>
      <c r="G1071" s="8">
        <v>5500</v>
      </c>
      <c r="H1071" s="9">
        <f t="shared" si="82"/>
        <v>12000</v>
      </c>
      <c r="I1071" s="9">
        <v>279938</v>
      </c>
      <c r="J1071" s="9">
        <v>291938</v>
      </c>
      <c r="K1071" s="10">
        <v>291938</v>
      </c>
    </row>
    <row r="1072" spans="1:11" ht="15.75">
      <c r="A1072" s="5">
        <v>45142</v>
      </c>
      <c r="B1072" s="6" t="s">
        <v>12</v>
      </c>
      <c r="C1072" s="7">
        <v>13.87</v>
      </c>
      <c r="D1072" s="7">
        <v>10.5</v>
      </c>
      <c r="E1072" s="8">
        <v>4700</v>
      </c>
      <c r="F1072" s="6">
        <v>1400</v>
      </c>
      <c r="G1072" s="8">
        <v>7000</v>
      </c>
      <c r="H1072" s="9">
        <f t="shared" si="82"/>
        <v>13100</v>
      </c>
      <c r="I1072" s="9">
        <v>257508</v>
      </c>
      <c r="J1072" s="9">
        <v>270608</v>
      </c>
      <c r="K1072" s="10">
        <v>276443</v>
      </c>
    </row>
    <row r="1073" spans="1:11" ht="15.75">
      <c r="A1073" s="5">
        <v>45143</v>
      </c>
      <c r="B1073" s="6" t="s">
        <v>12</v>
      </c>
      <c r="C1073" s="7">
        <v>13.85</v>
      </c>
      <c r="D1073" s="7">
        <v>10.45</v>
      </c>
      <c r="E1073" s="8">
        <v>4700</v>
      </c>
      <c r="F1073" s="6">
        <v>2300</v>
      </c>
      <c r="G1073" s="8">
        <v>7500</v>
      </c>
      <c r="H1073" s="9">
        <f t="shared" si="82"/>
        <v>14500</v>
      </c>
      <c r="I1073" s="9">
        <v>220256</v>
      </c>
      <c r="J1073" s="9">
        <v>234756</v>
      </c>
      <c r="K1073" s="9">
        <v>234602</v>
      </c>
    </row>
    <row r="1074" spans="1:11" ht="15.75">
      <c r="A1074" s="5">
        <v>45144</v>
      </c>
      <c r="B1074" s="6" t="s">
        <v>12</v>
      </c>
      <c r="C1074" s="7">
        <v>13.6</v>
      </c>
      <c r="D1074" s="7">
        <v>9.6</v>
      </c>
      <c r="E1074" s="8">
        <v>4900</v>
      </c>
      <c r="F1074" s="6">
        <v>2500</v>
      </c>
      <c r="G1074" s="8">
        <v>7500</v>
      </c>
      <c r="H1074" s="9">
        <f t="shared" si="82"/>
        <v>14900</v>
      </c>
      <c r="I1074" s="9">
        <v>191488</v>
      </c>
      <c r="J1074" s="9">
        <v>206388</v>
      </c>
      <c r="K1074" s="10">
        <v>204458</v>
      </c>
    </row>
    <row r="1075" spans="1:11" ht="15.75">
      <c r="A1075" s="5">
        <v>45145</v>
      </c>
      <c r="B1075" s="6" t="s">
        <v>12</v>
      </c>
      <c r="C1075" s="7">
        <v>13.69</v>
      </c>
      <c r="D1075" s="7">
        <v>9.9</v>
      </c>
      <c r="E1075" s="8">
        <v>4900</v>
      </c>
      <c r="F1075" s="6">
        <v>2500</v>
      </c>
      <c r="G1075" s="8">
        <v>7500</v>
      </c>
      <c r="H1075" s="9">
        <f t="shared" si="82"/>
        <v>14900</v>
      </c>
      <c r="I1075" s="9">
        <v>194442</v>
      </c>
      <c r="J1075" s="9">
        <v>209342</v>
      </c>
      <c r="K1075" s="10">
        <v>210037</v>
      </c>
    </row>
    <row r="1076" spans="1:11" ht="15.75">
      <c r="A1076" s="5">
        <v>45146</v>
      </c>
      <c r="B1076" s="6" t="s">
        <v>12</v>
      </c>
      <c r="C1076" s="17">
        <v>13.87</v>
      </c>
      <c r="D1076" s="7">
        <v>10.5</v>
      </c>
      <c r="E1076" s="8">
        <v>4900</v>
      </c>
      <c r="F1076" s="6">
        <v>2600</v>
      </c>
      <c r="G1076" s="8">
        <v>7500</v>
      </c>
      <c r="H1076" s="9">
        <f t="shared" si="82"/>
        <v>15000</v>
      </c>
      <c r="I1076" s="9">
        <v>181873</v>
      </c>
      <c r="J1076" s="9">
        <v>196873</v>
      </c>
      <c r="K1076" s="10">
        <v>198262</v>
      </c>
    </row>
    <row r="1077" spans="1:11" ht="15.75">
      <c r="A1077" s="5">
        <v>45147</v>
      </c>
      <c r="B1077" s="6" t="s">
        <v>12</v>
      </c>
      <c r="C1077" s="7">
        <v>13.99</v>
      </c>
      <c r="D1077" s="7">
        <v>10.9</v>
      </c>
      <c r="E1077" s="8">
        <v>4900</v>
      </c>
      <c r="F1077" s="6">
        <v>2600</v>
      </c>
      <c r="G1077" s="8">
        <v>7500</v>
      </c>
      <c r="H1077" s="9">
        <f t="shared" si="82"/>
        <v>15000</v>
      </c>
      <c r="I1077" s="9">
        <v>246111</v>
      </c>
      <c r="J1077" s="9">
        <v>261111</v>
      </c>
      <c r="K1077" s="10">
        <v>262032</v>
      </c>
    </row>
    <row r="1078" spans="1:11" ht="15.75">
      <c r="A1078" s="5">
        <v>45148</v>
      </c>
      <c r="B1078" s="6" t="s">
        <v>12</v>
      </c>
      <c r="C1078" s="7">
        <v>13.87</v>
      </c>
      <c r="D1078" s="7">
        <v>10.5</v>
      </c>
      <c r="E1078" s="8">
        <v>4900</v>
      </c>
      <c r="F1078" s="6">
        <v>2600</v>
      </c>
      <c r="G1078" s="8">
        <v>7500</v>
      </c>
      <c r="H1078" s="9">
        <f t="shared" si="82"/>
        <v>15000</v>
      </c>
      <c r="I1078" s="9">
        <v>232452</v>
      </c>
      <c r="J1078" s="10">
        <v>247452</v>
      </c>
      <c r="K1078" s="16">
        <v>246526</v>
      </c>
    </row>
    <row r="1079" spans="1:11" ht="15.75">
      <c r="A1079" s="5">
        <v>45149</v>
      </c>
      <c r="B1079" s="6" t="s">
        <v>12</v>
      </c>
      <c r="C1079" s="7">
        <v>13.66</v>
      </c>
      <c r="D1079" s="7">
        <v>9.8000000000000007</v>
      </c>
      <c r="E1079" s="8">
        <v>4900</v>
      </c>
      <c r="F1079" s="6">
        <v>2600</v>
      </c>
      <c r="G1079" s="8">
        <v>7500</v>
      </c>
      <c r="H1079" s="9">
        <f t="shared" si="82"/>
        <v>15000</v>
      </c>
      <c r="I1079" s="9">
        <v>190378</v>
      </c>
      <c r="J1079" s="9">
        <v>205378</v>
      </c>
      <c r="K1079" s="10">
        <v>203757</v>
      </c>
    </row>
    <row r="1080" spans="1:11" ht="15.75">
      <c r="A1080" s="5">
        <v>45150</v>
      </c>
      <c r="B1080" s="6" t="s">
        <v>12</v>
      </c>
      <c r="C1080" s="7">
        <v>13.79</v>
      </c>
      <c r="D1080" s="7">
        <v>10.25</v>
      </c>
      <c r="E1080" s="8">
        <v>4900</v>
      </c>
      <c r="F1080" s="8">
        <v>2600</v>
      </c>
      <c r="G1080" s="6">
        <v>7500</v>
      </c>
      <c r="H1080" s="9">
        <f t="shared" si="82"/>
        <v>15000</v>
      </c>
      <c r="I1080" s="9">
        <v>144058</v>
      </c>
      <c r="J1080" s="9">
        <v>159058</v>
      </c>
      <c r="K1080" s="10">
        <v>160062</v>
      </c>
    </row>
    <row r="1081" spans="1:11" ht="15.75">
      <c r="A1081" s="5">
        <v>45151</v>
      </c>
      <c r="B1081" s="6" t="s">
        <v>12</v>
      </c>
      <c r="C1081" s="7">
        <v>13.75</v>
      </c>
      <c r="D1081" s="7">
        <v>10.1</v>
      </c>
      <c r="E1081" s="8">
        <v>4900</v>
      </c>
      <c r="F1081" s="6">
        <v>2600</v>
      </c>
      <c r="G1081" s="8">
        <v>7500</v>
      </c>
      <c r="H1081" s="9">
        <f t="shared" si="82"/>
        <v>15000</v>
      </c>
      <c r="I1081" s="9">
        <v>114786</v>
      </c>
      <c r="J1081" s="9">
        <v>129786</v>
      </c>
      <c r="K1081" s="10">
        <v>129477</v>
      </c>
    </row>
    <row r="1082" spans="1:11" ht="15.75">
      <c r="A1082" s="5">
        <v>45152</v>
      </c>
      <c r="B1082" s="6" t="s">
        <v>12</v>
      </c>
      <c r="C1082" s="7">
        <v>13.63</v>
      </c>
      <c r="D1082" s="7">
        <v>9.6999999999999993</v>
      </c>
      <c r="E1082" s="8">
        <v>4900</v>
      </c>
      <c r="F1082" s="6">
        <v>2600</v>
      </c>
      <c r="G1082" s="6">
        <v>7500</v>
      </c>
      <c r="H1082" s="9">
        <f t="shared" si="82"/>
        <v>15000</v>
      </c>
      <c r="I1082" s="9">
        <v>102459</v>
      </c>
      <c r="J1082" s="9">
        <v>114469</v>
      </c>
      <c r="K1082" s="10">
        <v>116543</v>
      </c>
    </row>
    <row r="1083" spans="1:11" ht="15.75">
      <c r="A1083" s="5">
        <v>45153</v>
      </c>
      <c r="B1083" s="6" t="s">
        <v>12</v>
      </c>
      <c r="C1083" s="7">
        <v>13.87</v>
      </c>
      <c r="D1083" s="7">
        <v>10.5</v>
      </c>
      <c r="E1083" s="8">
        <v>4900</v>
      </c>
      <c r="F1083" s="6">
        <v>2600</v>
      </c>
      <c r="G1083" s="6">
        <v>7500</v>
      </c>
      <c r="H1083" s="9">
        <f t="shared" si="82"/>
        <v>15000</v>
      </c>
      <c r="I1083" s="9">
        <v>75670</v>
      </c>
      <c r="J1083" s="9">
        <v>90670</v>
      </c>
      <c r="K1083" s="10">
        <v>92522</v>
      </c>
    </row>
    <row r="1084" spans="1:11" ht="15.75">
      <c r="A1084" s="5">
        <v>45154</v>
      </c>
      <c r="B1084" s="6" t="s">
        <v>12</v>
      </c>
      <c r="C1084" s="7">
        <v>13.87</v>
      </c>
      <c r="D1084" s="7">
        <v>10.5</v>
      </c>
      <c r="E1084" s="8">
        <v>4900</v>
      </c>
      <c r="F1084" s="6">
        <v>2600</v>
      </c>
      <c r="G1084" s="6">
        <v>7500</v>
      </c>
      <c r="H1084" s="9">
        <f t="shared" si="82"/>
        <v>15000</v>
      </c>
      <c r="I1084" s="9">
        <v>57489</v>
      </c>
      <c r="J1084" s="9">
        <v>72489</v>
      </c>
      <c r="K1084" s="10">
        <v>72489</v>
      </c>
    </row>
    <row r="1085" spans="1:11" ht="15.75">
      <c r="A1085" s="5">
        <v>45155</v>
      </c>
      <c r="B1085" s="6" t="s">
        <v>12</v>
      </c>
      <c r="C1085" s="7">
        <v>13.95</v>
      </c>
      <c r="D1085" s="7">
        <v>10.75</v>
      </c>
      <c r="E1085" s="8">
        <v>4900</v>
      </c>
      <c r="F1085" s="6">
        <v>2600</v>
      </c>
      <c r="G1085" s="6">
        <v>7500</v>
      </c>
      <c r="H1085" s="9">
        <f t="shared" si="82"/>
        <v>15000</v>
      </c>
      <c r="I1085" s="9">
        <v>55082</v>
      </c>
      <c r="J1085" s="9">
        <v>70082</v>
      </c>
      <c r="K1085" s="10">
        <v>70623</v>
      </c>
    </row>
    <row r="1086" spans="1:11" ht="15.75">
      <c r="A1086" s="5">
        <v>45156</v>
      </c>
      <c r="B1086" s="6" t="s">
        <v>12</v>
      </c>
      <c r="C1086" s="7">
        <v>13.99</v>
      </c>
      <c r="D1086" s="7">
        <v>10.9</v>
      </c>
      <c r="E1086" s="8">
        <v>4500</v>
      </c>
      <c r="F1086" s="6">
        <v>2600</v>
      </c>
      <c r="G1086" s="6">
        <v>5500</v>
      </c>
      <c r="H1086" s="9">
        <f t="shared" si="82"/>
        <v>12600</v>
      </c>
      <c r="I1086" s="9">
        <v>55641</v>
      </c>
      <c r="J1086" s="9">
        <v>68241</v>
      </c>
      <c r="K1086" s="10">
        <v>68626</v>
      </c>
    </row>
    <row r="1087" spans="1:11" ht="15.75">
      <c r="A1087" s="5">
        <v>45157</v>
      </c>
      <c r="B1087" s="6" t="s">
        <v>12</v>
      </c>
      <c r="C1087" s="7">
        <v>13.99</v>
      </c>
      <c r="D1087" s="7">
        <v>10.9</v>
      </c>
      <c r="E1087" s="8">
        <v>4500</v>
      </c>
      <c r="F1087" s="6">
        <v>2600</v>
      </c>
      <c r="G1087" s="6">
        <v>5500</v>
      </c>
      <c r="H1087" s="9">
        <f t="shared" si="82"/>
        <v>12600</v>
      </c>
      <c r="I1087" s="9">
        <v>55802</v>
      </c>
      <c r="J1087" s="9">
        <v>68402</v>
      </c>
      <c r="K1087" s="10">
        <v>68402</v>
      </c>
    </row>
    <row r="1088" spans="1:11" ht="15.75">
      <c r="A1088" s="5">
        <v>45158</v>
      </c>
      <c r="B1088" s="6" t="s">
        <v>12</v>
      </c>
      <c r="C1088" s="7">
        <v>13.99</v>
      </c>
      <c r="D1088" s="7">
        <v>10.9</v>
      </c>
      <c r="E1088" s="8">
        <v>4500</v>
      </c>
      <c r="F1088" s="6">
        <v>2600</v>
      </c>
      <c r="G1088" s="6">
        <v>4000</v>
      </c>
      <c r="H1088" s="9">
        <f t="shared" si="82"/>
        <v>11100</v>
      </c>
      <c r="I1088" s="9">
        <v>91622</v>
      </c>
      <c r="J1088" s="9">
        <v>102722</v>
      </c>
      <c r="K1088" s="10">
        <v>102722</v>
      </c>
    </row>
    <row r="1089" spans="1:11" ht="15.75">
      <c r="A1089" s="5">
        <v>45159</v>
      </c>
      <c r="B1089" s="6" t="s">
        <v>12</v>
      </c>
      <c r="C1089" s="7">
        <v>13.72</v>
      </c>
      <c r="D1089" s="7">
        <v>10</v>
      </c>
      <c r="E1089" s="8">
        <v>4500</v>
      </c>
      <c r="F1089" s="6">
        <v>2600</v>
      </c>
      <c r="G1089" s="6">
        <v>4000</v>
      </c>
      <c r="H1089" s="9">
        <f t="shared" si="82"/>
        <v>11100</v>
      </c>
      <c r="I1089" s="9">
        <v>185884</v>
      </c>
      <c r="J1089" s="9">
        <v>196984</v>
      </c>
      <c r="K1089" s="10">
        <v>194900</v>
      </c>
    </row>
    <row r="1090" spans="1:11" ht="15.75">
      <c r="A1090" s="5">
        <v>45160</v>
      </c>
      <c r="B1090" s="6" t="s">
        <v>12</v>
      </c>
      <c r="C1090" s="7">
        <v>13.11</v>
      </c>
      <c r="D1090" s="7">
        <v>8</v>
      </c>
      <c r="E1090" s="8">
        <v>4800</v>
      </c>
      <c r="F1090" s="6">
        <v>2600</v>
      </c>
      <c r="G1090" s="6">
        <v>6000</v>
      </c>
      <c r="H1090" s="9">
        <f t="shared" si="82"/>
        <v>13400</v>
      </c>
      <c r="I1090" s="9">
        <v>288672</v>
      </c>
      <c r="J1090" s="9">
        <v>302072</v>
      </c>
      <c r="K1090" s="10">
        <v>296714</v>
      </c>
    </row>
    <row r="1091" spans="1:11" ht="15.75">
      <c r="A1091" s="5">
        <v>45161</v>
      </c>
      <c r="B1091" s="6" t="s">
        <v>12</v>
      </c>
      <c r="C1091" s="7">
        <v>13.9</v>
      </c>
      <c r="D1091" s="7">
        <v>10.6</v>
      </c>
      <c r="E1091" s="8">
        <v>4800</v>
      </c>
      <c r="F1091" s="6">
        <v>2600</v>
      </c>
      <c r="G1091" s="6">
        <v>6000</v>
      </c>
      <c r="H1091" s="9">
        <f t="shared" si="82"/>
        <v>13400</v>
      </c>
      <c r="I1091" s="9">
        <v>397236</v>
      </c>
      <c r="J1091" s="9">
        <v>410636</v>
      </c>
      <c r="K1091" s="10">
        <v>416702</v>
      </c>
    </row>
    <row r="1092" spans="1:11" ht="15.75">
      <c r="A1092" s="5">
        <v>45162</v>
      </c>
      <c r="B1092" s="6" t="s">
        <v>12</v>
      </c>
      <c r="C1092" s="7">
        <v>13.9</v>
      </c>
      <c r="D1092" s="7">
        <v>10.6</v>
      </c>
      <c r="E1092" s="8">
        <v>4800</v>
      </c>
      <c r="F1092" s="6">
        <v>2400</v>
      </c>
      <c r="G1092" s="6">
        <v>6000</v>
      </c>
      <c r="H1092" s="9">
        <f t="shared" si="82"/>
        <v>13200</v>
      </c>
      <c r="I1092" s="9">
        <v>429489</v>
      </c>
      <c r="J1092" s="9">
        <v>442689</v>
      </c>
      <c r="K1092" s="10">
        <v>442689</v>
      </c>
    </row>
    <row r="1093" spans="1:11" ht="15.75">
      <c r="A1093" s="5">
        <v>45163</v>
      </c>
      <c r="B1093" s="6" t="s">
        <v>12</v>
      </c>
      <c r="C1093" s="7">
        <v>13.53</v>
      </c>
      <c r="D1093" s="7">
        <v>9.4</v>
      </c>
      <c r="E1093" s="8">
        <v>4800</v>
      </c>
      <c r="F1093" s="6">
        <v>2400</v>
      </c>
      <c r="G1093" s="6">
        <v>6000</v>
      </c>
      <c r="H1093" s="9">
        <f t="shared" si="82"/>
        <v>13200</v>
      </c>
      <c r="I1093" s="9">
        <v>314073</v>
      </c>
      <c r="J1093" s="9">
        <v>327273</v>
      </c>
      <c r="K1093" s="10">
        <v>324419</v>
      </c>
    </row>
    <row r="1094" spans="1:11" ht="15.75">
      <c r="A1094" s="5">
        <v>45164</v>
      </c>
      <c r="B1094" s="6" t="s">
        <v>12</v>
      </c>
      <c r="C1094" s="7">
        <v>13.63</v>
      </c>
      <c r="D1094" s="7">
        <v>9.6999999999999993</v>
      </c>
      <c r="E1094" s="8">
        <v>4800</v>
      </c>
      <c r="F1094" s="6">
        <v>2200</v>
      </c>
      <c r="G1094" s="6">
        <v>6000</v>
      </c>
      <c r="H1094" s="9">
        <f t="shared" si="82"/>
        <v>13000</v>
      </c>
      <c r="I1094" s="9">
        <v>238058</v>
      </c>
      <c r="J1094" s="9">
        <v>251058</v>
      </c>
      <c r="K1094" s="10">
        <v>251829</v>
      </c>
    </row>
    <row r="1095" spans="1:11" ht="15.75">
      <c r="A1095" s="5">
        <v>45165</v>
      </c>
      <c r="B1095" s="6" t="s">
        <v>12</v>
      </c>
      <c r="C1095" s="7">
        <v>13.81</v>
      </c>
      <c r="D1095" s="7">
        <v>10.3</v>
      </c>
      <c r="E1095" s="8">
        <v>4200</v>
      </c>
      <c r="F1095" s="6">
        <v>2400</v>
      </c>
      <c r="G1095" s="6">
        <v>4000</v>
      </c>
      <c r="H1095" s="9">
        <f t="shared" si="82"/>
        <v>10600</v>
      </c>
      <c r="I1095" s="9">
        <v>245372</v>
      </c>
      <c r="J1095" s="9">
        <v>258972</v>
      </c>
      <c r="K1095" s="9">
        <v>260361</v>
      </c>
    </row>
    <row r="1096" spans="1:11" ht="15.75">
      <c r="A1096" s="5">
        <v>45166</v>
      </c>
      <c r="B1096" s="6" t="s">
        <v>12</v>
      </c>
      <c r="C1096" s="7">
        <v>13.99</v>
      </c>
      <c r="D1096" s="7">
        <v>10.9</v>
      </c>
      <c r="E1096" s="8">
        <v>4200</v>
      </c>
      <c r="F1096" s="6">
        <v>2400</v>
      </c>
      <c r="G1096" s="6">
        <v>4000</v>
      </c>
      <c r="H1096" s="9">
        <f t="shared" si="82"/>
        <v>10600</v>
      </c>
      <c r="I1096" s="9">
        <v>258556</v>
      </c>
      <c r="J1096" s="9">
        <v>269156</v>
      </c>
      <c r="K1096" s="9">
        <v>270545</v>
      </c>
    </row>
    <row r="1097" spans="1:11" ht="15.75">
      <c r="A1097" s="5">
        <v>45167</v>
      </c>
      <c r="B1097" s="6" t="s">
        <v>12</v>
      </c>
      <c r="C1097" s="7">
        <v>13.96</v>
      </c>
      <c r="D1097" s="7">
        <v>10.8</v>
      </c>
      <c r="E1097" s="8">
        <v>4200</v>
      </c>
      <c r="F1097" s="6">
        <v>2400</v>
      </c>
      <c r="G1097" s="6">
        <v>6000</v>
      </c>
      <c r="H1097" s="9">
        <f t="shared" si="82"/>
        <v>12600</v>
      </c>
      <c r="I1097" s="9">
        <v>255457</v>
      </c>
      <c r="J1097" s="9">
        <v>268057</v>
      </c>
      <c r="K1097" s="9">
        <v>267825</v>
      </c>
    </row>
    <row r="1098" spans="1:11" ht="15.75">
      <c r="A1098" s="5">
        <v>45168</v>
      </c>
      <c r="B1098" s="6" t="s">
        <v>12</v>
      </c>
      <c r="C1098" s="7">
        <v>13.99</v>
      </c>
      <c r="D1098" s="7">
        <v>10.9</v>
      </c>
      <c r="E1098" s="8">
        <v>4500</v>
      </c>
      <c r="F1098" s="6">
        <v>2400</v>
      </c>
      <c r="G1098" s="6">
        <v>6000</v>
      </c>
      <c r="H1098" s="9">
        <f t="shared" si="82"/>
        <v>12900</v>
      </c>
      <c r="I1098" s="9">
        <v>207921</v>
      </c>
      <c r="J1098" s="9">
        <v>220821</v>
      </c>
      <c r="K1098" s="9">
        <v>221053</v>
      </c>
    </row>
    <row r="1099" spans="1:11" ht="15.75">
      <c r="A1099" s="5">
        <v>45169</v>
      </c>
      <c r="B1099" s="6" t="s">
        <v>12</v>
      </c>
      <c r="C1099" s="7">
        <v>13.81</v>
      </c>
      <c r="D1099" s="7">
        <v>10.3</v>
      </c>
      <c r="E1099" s="8">
        <v>4500</v>
      </c>
      <c r="F1099" s="6">
        <v>2400</v>
      </c>
      <c r="G1099" s="6">
        <v>6500</v>
      </c>
      <c r="H1099" s="9">
        <f t="shared" si="82"/>
        <v>13400</v>
      </c>
      <c r="I1099" s="9">
        <v>164011</v>
      </c>
      <c r="J1099" s="9">
        <v>177411</v>
      </c>
      <c r="K1099" s="9">
        <v>176022</v>
      </c>
    </row>
    <row r="1100" spans="1:11" ht="15.75">
      <c r="A1100" s="2" t="s">
        <v>13</v>
      </c>
      <c r="B1100" s="2"/>
      <c r="C1100" s="2"/>
      <c r="D1100" s="2"/>
      <c r="E1100" s="11">
        <f t="shared" ref="E1100:K1100" si="83">SUM(E1069:E1099)</f>
        <v>145100</v>
      </c>
      <c r="F1100" s="11">
        <f t="shared" si="83"/>
        <v>75300</v>
      </c>
      <c r="G1100" s="11">
        <f t="shared" si="83"/>
        <v>195500</v>
      </c>
      <c r="H1100" s="11">
        <f t="shared" si="83"/>
        <v>415900</v>
      </c>
      <c r="I1100" s="11">
        <f t="shared" si="83"/>
        <v>7397899</v>
      </c>
      <c r="J1100" s="11">
        <f t="shared" si="83"/>
        <v>6745988</v>
      </c>
      <c r="K1100" s="11">
        <f t="shared" si="83"/>
        <v>7814503</v>
      </c>
    </row>
    <row r="1101" spans="1:11" ht="15.75">
      <c r="A1101" s="12"/>
      <c r="B1101" s="2"/>
      <c r="C1101" s="2"/>
      <c r="D1101" s="2"/>
      <c r="E1101" s="13">
        <f t="shared" ref="E1101:K1101" si="84">SUM(E1100/11575)</f>
        <v>12.535637149028078</v>
      </c>
      <c r="F1101" s="13">
        <f t="shared" si="84"/>
        <v>6.5053995680345569</v>
      </c>
      <c r="G1101" s="13">
        <f t="shared" si="84"/>
        <v>16.889848812095032</v>
      </c>
      <c r="H1101" s="13">
        <f t="shared" si="84"/>
        <v>35.930885529157671</v>
      </c>
      <c r="I1101" s="13">
        <f t="shared" si="84"/>
        <v>639.12734341252701</v>
      </c>
      <c r="J1101" s="13">
        <f t="shared" si="84"/>
        <v>582.80673866090717</v>
      </c>
      <c r="K1101" s="13">
        <f t="shared" si="84"/>
        <v>675.11904967602595</v>
      </c>
    </row>
    <row r="1102" spans="1:11" ht="15.75">
      <c r="A1102" s="1" t="s">
        <v>52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</row>
    <row r="1103" spans="1:11" ht="47.25">
      <c r="A1103" s="2" t="s">
        <v>1</v>
      </c>
      <c r="B1103" s="2" t="s">
        <v>2</v>
      </c>
      <c r="C1103" s="3" t="s">
        <v>18</v>
      </c>
      <c r="D1103" s="3" t="s">
        <v>4</v>
      </c>
      <c r="E1103" s="3" t="s">
        <v>5</v>
      </c>
      <c r="F1103" s="3" t="s">
        <v>6</v>
      </c>
      <c r="G1103" s="3" t="s">
        <v>7</v>
      </c>
      <c r="H1103" s="3" t="s">
        <v>8</v>
      </c>
      <c r="I1103" s="3" t="s">
        <v>9</v>
      </c>
      <c r="J1103" s="3" t="s">
        <v>19</v>
      </c>
      <c r="K1103" s="4" t="s">
        <v>11</v>
      </c>
    </row>
    <row r="1104" spans="1:11" ht="15.75">
      <c r="A1104" s="5">
        <v>45170</v>
      </c>
      <c r="B1104" s="6" t="s">
        <v>12</v>
      </c>
      <c r="C1104" s="7">
        <v>13.96</v>
      </c>
      <c r="D1104" s="7">
        <v>10.8</v>
      </c>
      <c r="E1104" s="8">
        <v>4800</v>
      </c>
      <c r="F1104" s="8">
        <v>2400</v>
      </c>
      <c r="G1104" s="8">
        <v>7000</v>
      </c>
      <c r="H1104" s="14">
        <f>E1104+F1104+G1104</f>
        <v>14200</v>
      </c>
      <c r="I1104" s="9">
        <v>129720</v>
      </c>
      <c r="J1104" s="9">
        <v>143920</v>
      </c>
      <c r="K1104" s="10">
        <v>145078</v>
      </c>
    </row>
    <row r="1105" spans="1:11" ht="15.75">
      <c r="A1105" s="5">
        <v>45171</v>
      </c>
      <c r="B1105" s="6" t="s">
        <v>12</v>
      </c>
      <c r="C1105" s="7">
        <v>13.93</v>
      </c>
      <c r="D1105" s="7">
        <v>10.7</v>
      </c>
      <c r="E1105" s="8">
        <v>4800</v>
      </c>
      <c r="F1105" s="6">
        <v>2500</v>
      </c>
      <c r="G1105" s="8">
        <v>7000</v>
      </c>
      <c r="H1105" s="9">
        <f t="shared" ref="H1105:H1133" si="85">E1105+F1105+G1105</f>
        <v>14300</v>
      </c>
      <c r="I1105" s="9">
        <v>108431</v>
      </c>
      <c r="J1105" s="9">
        <v>122731</v>
      </c>
      <c r="K1105" s="10">
        <v>122499</v>
      </c>
    </row>
    <row r="1106" spans="1:11" ht="15.75">
      <c r="A1106" s="5">
        <v>45172</v>
      </c>
      <c r="B1106" s="6" t="s">
        <v>12</v>
      </c>
      <c r="C1106" s="7">
        <v>13.75</v>
      </c>
      <c r="D1106" s="7">
        <v>10.1</v>
      </c>
      <c r="E1106" s="8">
        <v>4800</v>
      </c>
      <c r="F1106" s="6">
        <v>2500</v>
      </c>
      <c r="G1106" s="8">
        <v>7000</v>
      </c>
      <c r="H1106" s="9">
        <f t="shared" si="85"/>
        <v>14300</v>
      </c>
      <c r="I1106" s="9">
        <v>104758</v>
      </c>
      <c r="J1106" s="9">
        <v>119058</v>
      </c>
      <c r="K1106" s="10">
        <v>117669</v>
      </c>
    </row>
    <row r="1107" spans="1:11" ht="15.75">
      <c r="A1107" s="5">
        <v>45173</v>
      </c>
      <c r="B1107" s="6" t="s">
        <v>12</v>
      </c>
      <c r="C1107" s="7">
        <v>13.99</v>
      </c>
      <c r="D1107" s="7">
        <v>10.9</v>
      </c>
      <c r="E1107" s="8">
        <v>4800</v>
      </c>
      <c r="F1107" s="6">
        <v>2500</v>
      </c>
      <c r="G1107" s="8">
        <v>7000</v>
      </c>
      <c r="H1107" s="9">
        <f t="shared" si="85"/>
        <v>14300</v>
      </c>
      <c r="I1107" s="9">
        <v>77498</v>
      </c>
      <c r="J1107" s="9">
        <v>91798</v>
      </c>
      <c r="K1107" s="10">
        <v>93650</v>
      </c>
    </row>
    <row r="1108" spans="1:11" ht="15.75">
      <c r="A1108" s="5">
        <v>45174</v>
      </c>
      <c r="B1108" s="6" t="s">
        <v>12</v>
      </c>
      <c r="C1108" s="7">
        <v>13.99</v>
      </c>
      <c r="D1108" s="7">
        <v>10.9</v>
      </c>
      <c r="E1108" s="8">
        <v>4800</v>
      </c>
      <c r="F1108" s="6">
        <v>2500</v>
      </c>
      <c r="G1108" s="8">
        <v>7500</v>
      </c>
      <c r="H1108" s="9">
        <f t="shared" si="85"/>
        <v>14800</v>
      </c>
      <c r="I1108" s="9">
        <v>77277</v>
      </c>
      <c r="J1108" s="9">
        <v>92077</v>
      </c>
      <c r="K1108" s="9">
        <v>92077</v>
      </c>
    </row>
    <row r="1109" spans="1:11" ht="15.75">
      <c r="A1109" s="5">
        <v>45175</v>
      </c>
      <c r="B1109" s="6" t="s">
        <v>12</v>
      </c>
      <c r="C1109" s="7">
        <v>13.72</v>
      </c>
      <c r="D1109" s="7">
        <v>10</v>
      </c>
      <c r="E1109" s="8">
        <v>4800</v>
      </c>
      <c r="F1109" s="6">
        <v>2500</v>
      </c>
      <c r="G1109" s="8">
        <v>7500</v>
      </c>
      <c r="H1109" s="9">
        <f t="shared" si="85"/>
        <v>14800</v>
      </c>
      <c r="I1109" s="9">
        <v>180745</v>
      </c>
      <c r="J1109" s="9">
        <v>195545</v>
      </c>
      <c r="K1109" s="10">
        <v>193461</v>
      </c>
    </row>
    <row r="1110" spans="1:11" ht="15.75">
      <c r="A1110" s="5">
        <v>45176</v>
      </c>
      <c r="B1110" s="6" t="s">
        <v>12</v>
      </c>
      <c r="C1110" s="7">
        <v>13.35</v>
      </c>
      <c r="D1110" s="7">
        <v>8.8000000000000007</v>
      </c>
      <c r="E1110" s="8">
        <v>4500</v>
      </c>
      <c r="F1110" s="6">
        <v>2400</v>
      </c>
      <c r="G1110" s="8">
        <v>6900</v>
      </c>
      <c r="H1110" s="9">
        <f t="shared" si="85"/>
        <v>13800</v>
      </c>
      <c r="I1110" s="9">
        <v>231515</v>
      </c>
      <c r="J1110" s="9">
        <v>245315</v>
      </c>
      <c r="K1110" s="10">
        <v>242549</v>
      </c>
    </row>
    <row r="1111" spans="1:11" ht="15.75">
      <c r="A1111" s="5">
        <v>45177</v>
      </c>
      <c r="B1111" s="6" t="s">
        <v>12</v>
      </c>
      <c r="C1111" s="17">
        <v>13.9</v>
      </c>
      <c r="D1111" s="7">
        <v>10.6</v>
      </c>
      <c r="E1111" s="8">
        <v>4500</v>
      </c>
      <c r="F1111" s="6">
        <v>2400</v>
      </c>
      <c r="G1111" s="8">
        <v>4500</v>
      </c>
      <c r="H1111" s="9">
        <f t="shared" si="85"/>
        <v>11400</v>
      </c>
      <c r="I1111" s="9">
        <v>471944</v>
      </c>
      <c r="J1111" s="9">
        <v>483344</v>
      </c>
      <c r="K1111" s="10">
        <v>487589</v>
      </c>
    </row>
    <row r="1112" spans="1:11" ht="15.75">
      <c r="A1112" s="5">
        <v>45178</v>
      </c>
      <c r="B1112" s="6" t="s">
        <v>12</v>
      </c>
      <c r="C1112" s="7">
        <v>13.63</v>
      </c>
      <c r="D1112" s="7">
        <v>9.6999999999999993</v>
      </c>
      <c r="E1112" s="8">
        <v>4500</v>
      </c>
      <c r="F1112" s="6">
        <v>2400</v>
      </c>
      <c r="G1112" s="8">
        <v>3500</v>
      </c>
      <c r="H1112" s="9">
        <f t="shared" si="85"/>
        <v>10400</v>
      </c>
      <c r="I1112" s="9">
        <v>412395</v>
      </c>
      <c r="J1112" s="9">
        <v>422795</v>
      </c>
      <c r="K1112" s="10">
        <v>420711</v>
      </c>
    </row>
    <row r="1113" spans="1:11" ht="15.75">
      <c r="A1113" s="5">
        <v>45179</v>
      </c>
      <c r="B1113" s="6" t="s">
        <v>12</v>
      </c>
      <c r="C1113" s="7">
        <v>13.44</v>
      </c>
      <c r="D1113" s="7">
        <v>9.1</v>
      </c>
      <c r="E1113" s="8">
        <v>4800</v>
      </c>
      <c r="F1113" s="6">
        <v>2400</v>
      </c>
      <c r="G1113" s="8">
        <v>3500</v>
      </c>
      <c r="H1113" s="9">
        <f t="shared" si="85"/>
        <v>10700</v>
      </c>
      <c r="I1113" s="9">
        <v>388553</v>
      </c>
      <c r="J1113" s="10">
        <v>399253</v>
      </c>
      <c r="K1113" s="16">
        <v>397788</v>
      </c>
    </row>
    <row r="1114" spans="1:11" ht="15.75">
      <c r="A1114" s="5">
        <v>45180</v>
      </c>
      <c r="B1114" s="6" t="s">
        <v>12</v>
      </c>
      <c r="C1114" s="7">
        <v>13.78</v>
      </c>
      <c r="D1114" s="7">
        <v>10.199999999999999</v>
      </c>
      <c r="E1114" s="8">
        <v>3600</v>
      </c>
      <c r="F1114" s="6">
        <v>2400</v>
      </c>
      <c r="G1114" s="8">
        <v>3500</v>
      </c>
      <c r="H1114" s="9">
        <f t="shared" si="85"/>
        <v>9500</v>
      </c>
      <c r="I1114" s="9">
        <v>417083</v>
      </c>
      <c r="J1114" s="9">
        <v>426583</v>
      </c>
      <c r="K1114" s="10">
        <v>429206</v>
      </c>
    </row>
    <row r="1115" spans="1:11" ht="15.75">
      <c r="A1115" s="5">
        <v>45181</v>
      </c>
      <c r="B1115" s="6" t="s">
        <v>12</v>
      </c>
      <c r="C1115" s="7">
        <v>13.6</v>
      </c>
      <c r="D1115" s="7">
        <v>9.6</v>
      </c>
      <c r="E1115" s="8">
        <v>4600</v>
      </c>
      <c r="F1115" s="8">
        <v>2400</v>
      </c>
      <c r="G1115" s="6">
        <v>3500</v>
      </c>
      <c r="H1115" s="9">
        <f t="shared" si="85"/>
        <v>10500</v>
      </c>
      <c r="I1115" s="9">
        <v>358084</v>
      </c>
      <c r="J1115" s="9">
        <v>368584</v>
      </c>
      <c r="K1115" s="10">
        <v>367195</v>
      </c>
    </row>
    <row r="1116" spans="1:11" ht="15.75">
      <c r="A1116" s="5">
        <v>45182</v>
      </c>
      <c r="B1116" s="6" t="s">
        <v>12</v>
      </c>
      <c r="C1116" s="7">
        <v>13.72</v>
      </c>
      <c r="D1116" s="7">
        <v>10</v>
      </c>
      <c r="E1116" s="8">
        <v>4600</v>
      </c>
      <c r="F1116" s="6">
        <v>2200</v>
      </c>
      <c r="G1116" s="8">
        <v>6000</v>
      </c>
      <c r="H1116" s="9">
        <f t="shared" si="85"/>
        <v>12800</v>
      </c>
      <c r="I1116" s="9">
        <v>351654</v>
      </c>
      <c r="J1116" s="9">
        <v>364454</v>
      </c>
      <c r="K1116" s="10">
        <v>365380</v>
      </c>
    </row>
    <row r="1117" spans="1:11" ht="15.75">
      <c r="A1117" s="5">
        <v>45183</v>
      </c>
      <c r="B1117" s="6" t="s">
        <v>12</v>
      </c>
      <c r="C1117" s="7">
        <v>13.99</v>
      </c>
      <c r="D1117" s="7">
        <v>10.9</v>
      </c>
      <c r="E1117" s="8">
        <v>4600</v>
      </c>
      <c r="F1117" s="6">
        <v>2200</v>
      </c>
      <c r="G1117" s="6">
        <v>6000</v>
      </c>
      <c r="H1117" s="9">
        <f t="shared" si="85"/>
        <v>12800</v>
      </c>
      <c r="I1117" s="9">
        <v>375034</v>
      </c>
      <c r="J1117" s="9">
        <v>387834</v>
      </c>
      <c r="K1117" s="10">
        <v>389918</v>
      </c>
    </row>
    <row r="1118" spans="1:11" ht="15.75">
      <c r="A1118" s="5">
        <v>45184</v>
      </c>
      <c r="B1118" s="6" t="s">
        <v>12</v>
      </c>
      <c r="C1118" s="7">
        <v>13.53</v>
      </c>
      <c r="D1118" s="7">
        <v>9.4</v>
      </c>
      <c r="E1118" s="8">
        <v>4600</v>
      </c>
      <c r="F1118" s="6">
        <v>2200</v>
      </c>
      <c r="G1118" s="6">
        <v>6000</v>
      </c>
      <c r="H1118" s="9">
        <f t="shared" si="85"/>
        <v>12800</v>
      </c>
      <c r="I1118" s="9">
        <v>343848</v>
      </c>
      <c r="J1118" s="9">
        <v>356648</v>
      </c>
      <c r="K1118" s="10">
        <v>353099</v>
      </c>
    </row>
    <row r="1119" spans="1:11" ht="15.75">
      <c r="A1119" s="5">
        <v>45185</v>
      </c>
      <c r="B1119" s="6" t="s">
        <v>12</v>
      </c>
      <c r="C1119" s="7">
        <v>13.87</v>
      </c>
      <c r="D1119" s="7">
        <v>10.5</v>
      </c>
      <c r="E1119" s="8">
        <v>4600</v>
      </c>
      <c r="F1119" s="6">
        <v>2200</v>
      </c>
      <c r="G1119" s="6">
        <v>7000</v>
      </c>
      <c r="H1119" s="9">
        <f t="shared" si="85"/>
        <v>13800</v>
      </c>
      <c r="I1119" s="9">
        <v>512936</v>
      </c>
      <c r="J1119" s="9">
        <v>526736</v>
      </c>
      <c r="K1119" s="10">
        <v>529359</v>
      </c>
    </row>
    <row r="1120" spans="1:11" ht="15.75">
      <c r="A1120" s="5">
        <v>45186</v>
      </c>
      <c r="B1120" s="6" t="s">
        <v>12</v>
      </c>
      <c r="C1120" s="7">
        <v>13.47</v>
      </c>
      <c r="D1120" s="7">
        <v>9.1999999999999993</v>
      </c>
      <c r="E1120" s="8">
        <v>4600</v>
      </c>
      <c r="F1120" s="6">
        <v>2200</v>
      </c>
      <c r="G1120" s="6">
        <v>7000</v>
      </c>
      <c r="H1120" s="9">
        <f t="shared" si="85"/>
        <v>13800</v>
      </c>
      <c r="I1120" s="9">
        <v>411012</v>
      </c>
      <c r="J1120" s="9">
        <v>424812</v>
      </c>
      <c r="K1120" s="10">
        <v>421726</v>
      </c>
    </row>
    <row r="1121" spans="1:11" ht="15.75">
      <c r="A1121" s="5">
        <v>45187</v>
      </c>
      <c r="B1121" s="6" t="s">
        <v>12</v>
      </c>
      <c r="C1121" s="7">
        <v>13.6</v>
      </c>
      <c r="D1121" s="7">
        <v>9.6</v>
      </c>
      <c r="E1121" s="8">
        <v>4800</v>
      </c>
      <c r="F1121" s="6">
        <v>2400</v>
      </c>
      <c r="G1121" s="6">
        <v>7000</v>
      </c>
      <c r="H1121" s="9">
        <f t="shared" si="85"/>
        <v>14200</v>
      </c>
      <c r="I1121" s="9">
        <v>446204</v>
      </c>
      <c r="J1121" s="9">
        <v>460404</v>
      </c>
      <c r="K1121" s="10">
        <v>461406</v>
      </c>
    </row>
    <row r="1122" spans="1:11" ht="15.75">
      <c r="A1122" s="5">
        <v>45188</v>
      </c>
      <c r="B1122" s="6" t="s">
        <v>12</v>
      </c>
      <c r="C1122" s="7">
        <v>13.99</v>
      </c>
      <c r="D1122" s="7">
        <v>10.6</v>
      </c>
      <c r="E1122" s="8">
        <v>4800</v>
      </c>
      <c r="F1122" s="6">
        <v>2400</v>
      </c>
      <c r="G1122" s="6">
        <v>7000</v>
      </c>
      <c r="H1122" s="9">
        <f t="shared" si="85"/>
        <v>14200</v>
      </c>
      <c r="I1122" s="9">
        <v>537214</v>
      </c>
      <c r="J1122" s="9">
        <v>551415</v>
      </c>
      <c r="K1122" s="10">
        <v>554425</v>
      </c>
    </row>
    <row r="1123" spans="1:11" ht="15.75">
      <c r="A1123" s="5">
        <v>45189</v>
      </c>
      <c r="B1123" s="6" t="s">
        <v>12</v>
      </c>
      <c r="C1123" s="7">
        <v>13.96</v>
      </c>
      <c r="D1123" s="7">
        <v>10.8</v>
      </c>
      <c r="E1123" s="8">
        <v>3800</v>
      </c>
      <c r="F1123" s="6">
        <v>2400</v>
      </c>
      <c r="G1123" s="6">
        <v>7000</v>
      </c>
      <c r="H1123" s="9">
        <f t="shared" si="85"/>
        <v>13200</v>
      </c>
      <c r="I1123" s="9">
        <v>531668</v>
      </c>
      <c r="J1123" s="9">
        <v>544868</v>
      </c>
      <c r="K1123" s="10">
        <v>544636</v>
      </c>
    </row>
    <row r="1124" spans="1:11" ht="15.75">
      <c r="A1124" s="5">
        <v>45190</v>
      </c>
      <c r="B1124" s="6" t="s">
        <v>12</v>
      </c>
      <c r="C1124" s="7">
        <v>13.32</v>
      </c>
      <c r="D1124" s="7">
        <v>8.6999999999999993</v>
      </c>
      <c r="E1124" s="8">
        <v>4800</v>
      </c>
      <c r="F1124" s="6">
        <v>2400</v>
      </c>
      <c r="G1124" s="6">
        <v>7000</v>
      </c>
      <c r="H1124" s="9">
        <f t="shared" si="85"/>
        <v>14200</v>
      </c>
      <c r="I1124" s="9">
        <v>364999</v>
      </c>
      <c r="J1124" s="9">
        <v>379199</v>
      </c>
      <c r="K1124" s="10">
        <v>374263</v>
      </c>
    </row>
    <row r="1125" spans="1:11" ht="15.75">
      <c r="A1125" s="5">
        <v>45191</v>
      </c>
      <c r="B1125" s="6" t="s">
        <v>12</v>
      </c>
      <c r="C1125" s="7">
        <v>13.87</v>
      </c>
      <c r="D1125" s="7">
        <v>10.5</v>
      </c>
      <c r="E1125" s="8">
        <v>4400</v>
      </c>
      <c r="F1125" s="6">
        <v>2200</v>
      </c>
      <c r="G1125" s="6">
        <v>7000</v>
      </c>
      <c r="H1125" s="9">
        <f t="shared" si="85"/>
        <v>13600</v>
      </c>
      <c r="I1125" s="9">
        <v>339786</v>
      </c>
      <c r="J1125" s="9">
        <v>353386</v>
      </c>
      <c r="K1125" s="10">
        <v>357627</v>
      </c>
    </row>
    <row r="1126" spans="1:11" ht="15.75">
      <c r="A1126" s="5">
        <v>45192</v>
      </c>
      <c r="B1126" s="6" t="s">
        <v>12</v>
      </c>
      <c r="C1126" s="7">
        <v>13.66</v>
      </c>
      <c r="D1126" s="7">
        <v>9.8000000000000007</v>
      </c>
      <c r="E1126" s="8">
        <v>4700</v>
      </c>
      <c r="F1126" s="6">
        <v>2200</v>
      </c>
      <c r="G1126" s="6">
        <v>7000</v>
      </c>
      <c r="H1126" s="9">
        <f t="shared" si="85"/>
        <v>13900</v>
      </c>
      <c r="I1126" s="9">
        <v>221455</v>
      </c>
      <c r="J1126" s="9">
        <v>235355</v>
      </c>
      <c r="K1126" s="10">
        <v>230734</v>
      </c>
    </row>
    <row r="1127" spans="1:11" ht="15.75">
      <c r="A1127" s="5">
        <v>45193</v>
      </c>
      <c r="B1127" s="6" t="s">
        <v>12</v>
      </c>
      <c r="C1127" s="7">
        <v>13.99</v>
      </c>
      <c r="D1127" s="7">
        <v>10.9</v>
      </c>
      <c r="E1127" s="8">
        <v>4700</v>
      </c>
      <c r="F1127" s="6">
        <v>2200</v>
      </c>
      <c r="G1127" s="6">
        <v>7000</v>
      </c>
      <c r="H1127" s="9">
        <f t="shared" si="85"/>
        <v>13900</v>
      </c>
      <c r="I1127" s="9">
        <v>261778</v>
      </c>
      <c r="J1127" s="9">
        <v>275678</v>
      </c>
      <c r="K1127" s="10">
        <v>278225</v>
      </c>
    </row>
    <row r="1128" spans="1:11" ht="15.75">
      <c r="A1128" s="5">
        <v>45194</v>
      </c>
      <c r="B1128" s="6" t="s">
        <v>12</v>
      </c>
      <c r="C1128" s="7">
        <v>13.84</v>
      </c>
      <c r="D1128" s="7">
        <v>10.4</v>
      </c>
      <c r="E1128" s="8">
        <v>4700</v>
      </c>
      <c r="F1128" s="6">
        <v>1000</v>
      </c>
      <c r="G1128" s="6">
        <v>7000</v>
      </c>
      <c r="H1128" s="9">
        <f t="shared" si="85"/>
        <v>12700</v>
      </c>
      <c r="I1128" s="9">
        <v>349597</v>
      </c>
      <c r="J1128" s="9">
        <v>362297</v>
      </c>
      <c r="K1128" s="10">
        <v>361121</v>
      </c>
    </row>
    <row r="1129" spans="1:11" ht="15.75">
      <c r="A1129" s="5">
        <v>45195</v>
      </c>
      <c r="B1129" s="6" t="s">
        <v>12</v>
      </c>
      <c r="C1129" s="7">
        <v>13.99</v>
      </c>
      <c r="D1129" s="7">
        <v>10.9</v>
      </c>
      <c r="E1129" s="8">
        <v>4700</v>
      </c>
      <c r="F1129" s="6">
        <v>0</v>
      </c>
      <c r="G1129" s="6">
        <v>7000</v>
      </c>
      <c r="H1129" s="9">
        <f t="shared" si="85"/>
        <v>11700</v>
      </c>
      <c r="I1129" s="9">
        <v>363508</v>
      </c>
      <c r="J1129" s="9">
        <v>375208</v>
      </c>
      <c r="K1129" s="10">
        <v>376366</v>
      </c>
    </row>
    <row r="1130" spans="1:11" ht="15.75">
      <c r="A1130" s="5">
        <v>45196</v>
      </c>
      <c r="B1130" s="6" t="s">
        <v>12</v>
      </c>
      <c r="C1130" s="7">
        <v>13.99</v>
      </c>
      <c r="D1130" s="7">
        <v>10.9</v>
      </c>
      <c r="E1130" s="8">
        <v>4700</v>
      </c>
      <c r="F1130" s="6">
        <v>2000</v>
      </c>
      <c r="G1130" s="6">
        <v>7000</v>
      </c>
      <c r="H1130" s="9">
        <f t="shared" si="85"/>
        <v>13700</v>
      </c>
      <c r="I1130" s="9">
        <v>443924</v>
      </c>
      <c r="J1130" s="9">
        <v>457624</v>
      </c>
      <c r="K1130" s="9">
        <v>457624</v>
      </c>
    </row>
    <row r="1131" spans="1:11" ht="15.75">
      <c r="A1131" s="5">
        <v>45197</v>
      </c>
      <c r="B1131" s="6" t="s">
        <v>12</v>
      </c>
      <c r="C1131" s="7">
        <v>13.97</v>
      </c>
      <c r="D1131" s="7">
        <v>10.85</v>
      </c>
      <c r="E1131" s="8">
        <v>4200</v>
      </c>
      <c r="F1131" s="6">
        <v>2200</v>
      </c>
      <c r="G1131" s="6">
        <v>7000</v>
      </c>
      <c r="H1131" s="9">
        <f t="shared" si="85"/>
        <v>13400</v>
      </c>
      <c r="I1131" s="9">
        <v>409743</v>
      </c>
      <c r="J1131" s="9">
        <v>423143</v>
      </c>
      <c r="K1131" s="9">
        <v>422989</v>
      </c>
    </row>
    <row r="1132" spans="1:11" ht="15.75">
      <c r="A1132" s="5">
        <v>45198</v>
      </c>
      <c r="B1132" s="6" t="s">
        <v>12</v>
      </c>
      <c r="C1132" s="7">
        <v>13.93</v>
      </c>
      <c r="D1132" s="7">
        <v>10.7</v>
      </c>
      <c r="E1132" s="8">
        <v>3800</v>
      </c>
      <c r="F1132" s="6">
        <v>2400</v>
      </c>
      <c r="G1132" s="6">
        <v>7000</v>
      </c>
      <c r="H1132" s="9">
        <f t="shared" si="85"/>
        <v>13200</v>
      </c>
      <c r="I1132" s="9">
        <v>368444</v>
      </c>
      <c r="J1132" s="9">
        <v>381644</v>
      </c>
      <c r="K1132" s="9">
        <v>381335</v>
      </c>
    </row>
    <row r="1133" spans="1:11" ht="15.75">
      <c r="A1133" s="5">
        <v>45199</v>
      </c>
      <c r="B1133" s="6" t="s">
        <v>12</v>
      </c>
      <c r="C1133" s="7">
        <v>13.99</v>
      </c>
      <c r="D1133" s="7">
        <v>10.9</v>
      </c>
      <c r="E1133" s="8">
        <v>3800</v>
      </c>
      <c r="F1133" s="6">
        <v>2400</v>
      </c>
      <c r="G1133" s="6">
        <v>5000</v>
      </c>
      <c r="H1133" s="9">
        <f t="shared" si="85"/>
        <v>11200</v>
      </c>
      <c r="I1133" s="9">
        <v>348468</v>
      </c>
      <c r="J1133" s="9">
        <v>359668</v>
      </c>
      <c r="K1133" s="9">
        <v>360131</v>
      </c>
    </row>
    <row r="1134" spans="1:11" ht="15.75">
      <c r="A1134" s="2" t="s">
        <v>13</v>
      </c>
      <c r="B1134" s="2"/>
      <c r="C1134" s="2"/>
      <c r="D1134" s="2"/>
      <c r="E1134" s="11">
        <f t="shared" ref="E1134:K1134" si="86">SUM(E1104:E1133)</f>
        <v>136200</v>
      </c>
      <c r="F1134" s="11">
        <f t="shared" si="86"/>
        <v>66500</v>
      </c>
      <c r="G1134" s="11">
        <f t="shared" si="86"/>
        <v>189400</v>
      </c>
      <c r="H1134" s="11">
        <f t="shared" si="86"/>
        <v>392100</v>
      </c>
      <c r="I1134" s="11">
        <f t="shared" si="86"/>
        <v>9939275</v>
      </c>
      <c r="J1134" s="11">
        <f t="shared" si="86"/>
        <v>10331376</v>
      </c>
      <c r="K1134" s="11">
        <f t="shared" si="86"/>
        <v>10329836</v>
      </c>
    </row>
    <row r="1135" spans="1:11" ht="15.75">
      <c r="A1135" s="12"/>
      <c r="B1135" s="2"/>
      <c r="C1135" s="2"/>
      <c r="D1135" s="2"/>
      <c r="E1135" s="13">
        <f t="shared" ref="E1135:K1135" si="87">SUM(E1134/11575)</f>
        <v>11.766738660907128</v>
      </c>
      <c r="F1135" s="13">
        <f t="shared" si="87"/>
        <v>5.7451403887688981</v>
      </c>
      <c r="G1135" s="13">
        <f t="shared" si="87"/>
        <v>16.362850971922246</v>
      </c>
      <c r="H1135" s="13">
        <f t="shared" si="87"/>
        <v>33.874730021598275</v>
      </c>
      <c r="I1135" s="13">
        <f t="shared" si="87"/>
        <v>858.68466522678182</v>
      </c>
      <c r="J1135" s="13">
        <f t="shared" si="87"/>
        <v>892.55948164146866</v>
      </c>
      <c r="K1135" s="13">
        <f t="shared" si="87"/>
        <v>892.42643628509722</v>
      </c>
    </row>
    <row r="1136" spans="1:11" ht="15.75">
      <c r="A1136" s="1" t="s">
        <v>53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</row>
    <row r="1137" spans="1:11" ht="47.25">
      <c r="A1137" s="2" t="s">
        <v>1</v>
      </c>
      <c r="B1137" s="2" t="s">
        <v>2</v>
      </c>
      <c r="C1137" s="3" t="s">
        <v>18</v>
      </c>
      <c r="D1137" s="3" t="s">
        <v>4</v>
      </c>
      <c r="E1137" s="3" t="s">
        <v>5</v>
      </c>
      <c r="F1137" s="3" t="s">
        <v>6</v>
      </c>
      <c r="G1137" s="3" t="s">
        <v>7</v>
      </c>
      <c r="H1137" s="3" t="s">
        <v>8</v>
      </c>
      <c r="I1137" s="3" t="s">
        <v>9</v>
      </c>
      <c r="J1137" s="3" t="s">
        <v>19</v>
      </c>
      <c r="K1137" s="4" t="s">
        <v>11</v>
      </c>
    </row>
    <row r="1138" spans="1:11" ht="15.75">
      <c r="A1138" s="5">
        <v>45200</v>
      </c>
      <c r="B1138" s="6" t="s">
        <v>12</v>
      </c>
      <c r="C1138" s="7">
        <v>13.9</v>
      </c>
      <c r="D1138" s="7">
        <v>10.6</v>
      </c>
      <c r="E1138" s="8">
        <v>3800</v>
      </c>
      <c r="F1138" s="8">
        <v>2600</v>
      </c>
      <c r="G1138" s="8">
        <v>5000</v>
      </c>
      <c r="H1138" s="14">
        <f>E1138+F1138+G1138</f>
        <v>11400</v>
      </c>
      <c r="I1138" s="9">
        <v>353548</v>
      </c>
      <c r="J1138" s="9">
        <v>364948</v>
      </c>
      <c r="K1138" s="10">
        <v>364253</v>
      </c>
    </row>
    <row r="1139" spans="1:11" ht="15.75">
      <c r="A1139" s="5">
        <v>45201</v>
      </c>
      <c r="B1139" s="6" t="s">
        <v>12</v>
      </c>
      <c r="C1139" s="7">
        <v>13.9</v>
      </c>
      <c r="D1139" s="7">
        <v>10.6</v>
      </c>
      <c r="E1139" s="8">
        <v>4400</v>
      </c>
      <c r="F1139" s="6">
        <v>2600</v>
      </c>
      <c r="G1139" s="8">
        <v>5000</v>
      </c>
      <c r="H1139" s="9">
        <f t="shared" ref="H1139:H1168" si="88">E1139+F1139+G1139</f>
        <v>12000</v>
      </c>
      <c r="I1139" s="9">
        <v>286555</v>
      </c>
      <c r="J1139" s="9">
        <v>298555</v>
      </c>
      <c r="K1139" s="10">
        <v>298555</v>
      </c>
    </row>
    <row r="1140" spans="1:11" ht="15.75">
      <c r="A1140" s="5">
        <v>45202</v>
      </c>
      <c r="B1140" s="6" t="s">
        <v>12</v>
      </c>
      <c r="C1140" s="7">
        <v>13.87</v>
      </c>
      <c r="D1140" s="7">
        <v>10.5</v>
      </c>
      <c r="E1140" s="8">
        <v>4400</v>
      </c>
      <c r="F1140" s="6">
        <v>2600</v>
      </c>
      <c r="G1140" s="8">
        <v>6000</v>
      </c>
      <c r="H1140" s="9">
        <f t="shared" si="88"/>
        <v>13000</v>
      </c>
      <c r="I1140" s="9">
        <v>235639</v>
      </c>
      <c r="J1140" s="9">
        <v>248639</v>
      </c>
      <c r="K1140" s="10">
        <v>248407</v>
      </c>
    </row>
    <row r="1141" spans="1:11" ht="15.75">
      <c r="A1141" s="5">
        <v>45203</v>
      </c>
      <c r="B1141" s="6" t="s">
        <v>12</v>
      </c>
      <c r="C1141" s="7">
        <v>13.99</v>
      </c>
      <c r="D1141" s="7">
        <v>10.9</v>
      </c>
      <c r="E1141" s="8">
        <v>4400</v>
      </c>
      <c r="F1141" s="6">
        <v>2300</v>
      </c>
      <c r="G1141" s="8">
        <v>6000</v>
      </c>
      <c r="H1141" s="9">
        <f t="shared" si="88"/>
        <v>12700</v>
      </c>
      <c r="I1141" s="9">
        <v>223759</v>
      </c>
      <c r="J1141" s="9">
        <v>236459</v>
      </c>
      <c r="K1141" s="10">
        <v>237385</v>
      </c>
    </row>
    <row r="1142" spans="1:11" ht="15.75">
      <c r="A1142" s="5">
        <v>45204</v>
      </c>
      <c r="B1142" s="6" t="s">
        <v>12</v>
      </c>
      <c r="C1142" s="7">
        <v>13.78</v>
      </c>
      <c r="D1142" s="7">
        <v>10.199999999999999</v>
      </c>
      <c r="E1142" s="8">
        <v>4400</v>
      </c>
      <c r="F1142" s="6">
        <v>2300</v>
      </c>
      <c r="G1142" s="8">
        <v>6000</v>
      </c>
      <c r="H1142" s="9">
        <f t="shared" si="88"/>
        <v>12700</v>
      </c>
      <c r="I1142" s="9">
        <v>198158</v>
      </c>
      <c r="J1142" s="9">
        <v>210858</v>
      </c>
      <c r="K1142" s="9">
        <v>209237</v>
      </c>
    </row>
    <row r="1143" spans="1:11" ht="15.75">
      <c r="A1143" s="5">
        <v>45205</v>
      </c>
      <c r="B1143" s="6" t="s">
        <v>12</v>
      </c>
      <c r="C1143" s="7">
        <v>13.99</v>
      </c>
      <c r="D1143" s="7">
        <v>10.9</v>
      </c>
      <c r="E1143" s="8">
        <v>4400</v>
      </c>
      <c r="F1143" s="6">
        <v>2300</v>
      </c>
      <c r="G1143" s="8">
        <v>6000</v>
      </c>
      <c r="H1143" s="9">
        <f t="shared" si="88"/>
        <v>12700</v>
      </c>
      <c r="I1143" s="9">
        <v>183878</v>
      </c>
      <c r="J1143" s="9">
        <v>196578</v>
      </c>
      <c r="K1143" s="10">
        <v>198199</v>
      </c>
    </row>
    <row r="1144" spans="1:11" ht="15.75">
      <c r="A1144" s="5">
        <v>45206</v>
      </c>
      <c r="B1144" s="6" t="s">
        <v>12</v>
      </c>
      <c r="C1144" s="7">
        <v>13.99</v>
      </c>
      <c r="D1144" s="7">
        <v>10.9</v>
      </c>
      <c r="E1144" s="8">
        <v>4400</v>
      </c>
      <c r="F1144" s="6">
        <v>2500</v>
      </c>
      <c r="G1144" s="8">
        <v>6000</v>
      </c>
      <c r="H1144" s="9">
        <f t="shared" si="88"/>
        <v>12900</v>
      </c>
      <c r="I1144" s="9">
        <v>166337</v>
      </c>
      <c r="J1144" s="9">
        <v>179237</v>
      </c>
      <c r="K1144" s="10">
        <v>179237</v>
      </c>
    </row>
    <row r="1145" spans="1:11" ht="15.75">
      <c r="A1145" s="5">
        <v>45207</v>
      </c>
      <c r="B1145" s="6" t="s">
        <v>12</v>
      </c>
      <c r="C1145" s="7">
        <v>13.99</v>
      </c>
      <c r="D1145" s="7">
        <v>10.9</v>
      </c>
      <c r="E1145" s="8">
        <v>4700</v>
      </c>
      <c r="F1145" s="6">
        <v>2500</v>
      </c>
      <c r="G1145" s="8">
        <v>6000</v>
      </c>
      <c r="H1145" s="9">
        <f t="shared" si="88"/>
        <v>13200</v>
      </c>
      <c r="I1145" s="9">
        <v>130945</v>
      </c>
      <c r="J1145" s="9">
        <v>144145</v>
      </c>
      <c r="K1145" s="10">
        <v>144145</v>
      </c>
    </row>
    <row r="1146" spans="1:11" ht="15.75">
      <c r="A1146" s="5">
        <v>45208</v>
      </c>
      <c r="B1146" s="6" t="s">
        <v>12</v>
      </c>
      <c r="C1146" s="7">
        <v>13.92</v>
      </c>
      <c r="D1146" s="7">
        <v>10.65</v>
      </c>
      <c r="E1146" s="8">
        <v>4700</v>
      </c>
      <c r="F1146" s="6">
        <v>2500</v>
      </c>
      <c r="G1146" s="8">
        <v>7000</v>
      </c>
      <c r="H1146" s="9">
        <f t="shared" si="88"/>
        <v>14200</v>
      </c>
      <c r="I1146" s="9">
        <v>118111</v>
      </c>
      <c r="J1146" s="9">
        <v>132311</v>
      </c>
      <c r="K1146" s="10">
        <v>131694</v>
      </c>
    </row>
    <row r="1147" spans="1:11" ht="15.75">
      <c r="A1147" s="5">
        <v>45209</v>
      </c>
      <c r="B1147" s="6" t="s">
        <v>12</v>
      </c>
      <c r="C1147" s="7">
        <v>13.99</v>
      </c>
      <c r="D1147" s="7">
        <v>10.9</v>
      </c>
      <c r="E1147" s="8">
        <v>4700</v>
      </c>
      <c r="F1147" s="6">
        <v>2300</v>
      </c>
      <c r="G1147" s="8">
        <v>7000</v>
      </c>
      <c r="H1147" s="9">
        <f t="shared" si="88"/>
        <v>14000</v>
      </c>
      <c r="I1147" s="9">
        <v>90368</v>
      </c>
      <c r="J1147" s="10">
        <v>104368</v>
      </c>
      <c r="K1147" s="16">
        <v>104985</v>
      </c>
    </row>
    <row r="1148" spans="1:11" ht="15.75">
      <c r="A1148" s="5">
        <v>45210</v>
      </c>
      <c r="B1148" s="6" t="s">
        <v>12</v>
      </c>
      <c r="C1148" s="7">
        <v>13.99</v>
      </c>
      <c r="D1148" s="7">
        <v>10.9</v>
      </c>
      <c r="E1148" s="8">
        <v>4800</v>
      </c>
      <c r="F1148" s="6">
        <v>2300</v>
      </c>
      <c r="G1148" s="8">
        <v>7000</v>
      </c>
      <c r="H1148" s="9">
        <f t="shared" si="88"/>
        <v>14100</v>
      </c>
      <c r="I1148" s="9">
        <v>55862</v>
      </c>
      <c r="J1148" s="9">
        <v>69962</v>
      </c>
      <c r="K1148" s="10">
        <v>69962</v>
      </c>
    </row>
    <row r="1149" spans="1:11" ht="15.75">
      <c r="A1149" s="5">
        <v>45211</v>
      </c>
      <c r="B1149" s="6" t="s">
        <v>12</v>
      </c>
      <c r="C1149" s="7">
        <v>13.84</v>
      </c>
      <c r="D1149" s="7">
        <v>10.4</v>
      </c>
      <c r="E1149" s="8">
        <v>4800</v>
      </c>
      <c r="F1149" s="6">
        <v>2300</v>
      </c>
      <c r="G1149" s="8">
        <v>5000</v>
      </c>
      <c r="H1149" s="9">
        <f t="shared" si="88"/>
        <v>12100</v>
      </c>
      <c r="I1149" s="9">
        <v>53964</v>
      </c>
      <c r="J1149" s="9">
        <v>66064</v>
      </c>
      <c r="K1149" s="10">
        <v>64906</v>
      </c>
    </row>
    <row r="1150" spans="1:11" ht="15.75">
      <c r="A1150" s="5">
        <v>45212</v>
      </c>
      <c r="B1150" s="6" t="s">
        <v>12</v>
      </c>
      <c r="C1150" s="7">
        <v>13.99</v>
      </c>
      <c r="D1150" s="7">
        <v>10.9</v>
      </c>
      <c r="E1150" s="8">
        <v>4800</v>
      </c>
      <c r="F1150" s="8">
        <v>2300</v>
      </c>
      <c r="G1150" s="6">
        <v>7000</v>
      </c>
      <c r="H1150" s="9">
        <f t="shared" si="88"/>
        <v>14100</v>
      </c>
      <c r="I1150" s="9">
        <v>30365</v>
      </c>
      <c r="J1150" s="9">
        <v>44465</v>
      </c>
      <c r="K1150" s="10">
        <v>45623</v>
      </c>
    </row>
    <row r="1151" spans="1:11" ht="15.75">
      <c r="A1151" s="5">
        <v>45213</v>
      </c>
      <c r="B1151" s="6" t="s">
        <v>12</v>
      </c>
      <c r="C1151" s="7">
        <v>13.99</v>
      </c>
      <c r="D1151" s="7">
        <v>10.9</v>
      </c>
      <c r="E1151" s="8">
        <v>4800</v>
      </c>
      <c r="F1151" s="6">
        <v>2300</v>
      </c>
      <c r="G1151" s="6">
        <v>7000</v>
      </c>
      <c r="H1151" s="9">
        <f t="shared" si="88"/>
        <v>14100</v>
      </c>
      <c r="I1151" s="9">
        <v>30281</v>
      </c>
      <c r="J1151" s="9">
        <v>44381</v>
      </c>
      <c r="K1151" s="10">
        <v>44381</v>
      </c>
    </row>
    <row r="1152" spans="1:11" ht="15.75">
      <c r="A1152" s="5">
        <v>45214</v>
      </c>
      <c r="B1152" s="6" t="s">
        <v>12</v>
      </c>
      <c r="C1152" s="7">
        <v>13.99</v>
      </c>
      <c r="D1152" s="7">
        <v>10.9</v>
      </c>
      <c r="E1152" s="8">
        <v>4900</v>
      </c>
      <c r="F1152" s="6">
        <v>2500</v>
      </c>
      <c r="G1152" s="6">
        <v>7000</v>
      </c>
      <c r="H1152" s="9">
        <f t="shared" si="88"/>
        <v>14400</v>
      </c>
      <c r="I1152" s="9">
        <v>30365</v>
      </c>
      <c r="J1152" s="9">
        <v>44765</v>
      </c>
      <c r="K1152" s="10">
        <v>44765</v>
      </c>
    </row>
    <row r="1153" spans="1:11" ht="15.75">
      <c r="A1153" s="5">
        <v>45215</v>
      </c>
      <c r="B1153" s="6" t="s">
        <v>12</v>
      </c>
      <c r="C1153" s="7">
        <v>13.99</v>
      </c>
      <c r="D1153" s="7">
        <v>10.9</v>
      </c>
      <c r="E1153" s="8">
        <v>4900</v>
      </c>
      <c r="F1153" s="6">
        <v>2500</v>
      </c>
      <c r="G1153" s="6">
        <v>7000</v>
      </c>
      <c r="H1153" s="9">
        <f t="shared" si="88"/>
        <v>14400</v>
      </c>
      <c r="I1153" s="9">
        <v>23935</v>
      </c>
      <c r="J1153" s="9">
        <v>38335</v>
      </c>
      <c r="K1153" s="10">
        <v>38335</v>
      </c>
    </row>
    <row r="1154" spans="1:11" ht="15.75">
      <c r="A1154" s="5">
        <v>45216</v>
      </c>
      <c r="B1154" s="6" t="s">
        <v>12</v>
      </c>
      <c r="C1154" s="7">
        <v>13.99</v>
      </c>
      <c r="D1154" s="7">
        <v>10.9</v>
      </c>
      <c r="E1154" s="8">
        <v>4900</v>
      </c>
      <c r="F1154" s="6">
        <v>2600</v>
      </c>
      <c r="G1154" s="6">
        <v>7000</v>
      </c>
      <c r="H1154" s="9">
        <f t="shared" si="88"/>
        <v>14500</v>
      </c>
      <c r="I1154" s="9">
        <v>20788</v>
      </c>
      <c r="J1154" s="9">
        <v>35288</v>
      </c>
      <c r="K1154" s="10">
        <v>35288</v>
      </c>
    </row>
    <row r="1155" spans="1:11" ht="15.75">
      <c r="A1155" s="5">
        <v>45217</v>
      </c>
      <c r="B1155" s="6" t="s">
        <v>12</v>
      </c>
      <c r="C1155" s="7">
        <v>13.99</v>
      </c>
      <c r="D1155" s="7">
        <v>10.9</v>
      </c>
      <c r="E1155" s="8">
        <v>4900</v>
      </c>
      <c r="F1155" s="6">
        <v>2500</v>
      </c>
      <c r="G1155" s="6">
        <v>7200</v>
      </c>
      <c r="H1155" s="9">
        <f t="shared" si="88"/>
        <v>14600</v>
      </c>
      <c r="I1155" s="9">
        <v>14359</v>
      </c>
      <c r="J1155" s="9">
        <v>28959</v>
      </c>
      <c r="K1155" s="10">
        <v>28959</v>
      </c>
    </row>
    <row r="1156" spans="1:11" ht="15.75">
      <c r="A1156" s="5">
        <v>45218</v>
      </c>
      <c r="B1156" s="6" t="s">
        <v>12</v>
      </c>
      <c r="C1156" s="7">
        <v>13.99</v>
      </c>
      <c r="D1156" s="7">
        <v>10.9</v>
      </c>
      <c r="E1156" s="8">
        <v>4900</v>
      </c>
      <c r="F1156" s="6">
        <v>2600</v>
      </c>
      <c r="G1156" s="6">
        <v>7200</v>
      </c>
      <c r="H1156" s="9">
        <f t="shared" si="88"/>
        <v>14700</v>
      </c>
      <c r="I1156" s="9">
        <v>0</v>
      </c>
      <c r="J1156" s="9">
        <v>14700</v>
      </c>
      <c r="K1156" s="10">
        <v>14700</v>
      </c>
    </row>
    <row r="1157" spans="1:11" ht="15.75">
      <c r="A1157" s="5">
        <v>45219</v>
      </c>
      <c r="B1157" s="6" t="s">
        <v>12</v>
      </c>
      <c r="C1157" s="7">
        <v>13.99</v>
      </c>
      <c r="D1157" s="7">
        <v>10.9</v>
      </c>
      <c r="E1157" s="8">
        <v>4900</v>
      </c>
      <c r="F1157" s="6">
        <v>2600</v>
      </c>
      <c r="G1157" s="6">
        <v>7200</v>
      </c>
      <c r="H1157" s="9">
        <f t="shared" si="88"/>
        <v>14700</v>
      </c>
      <c r="I1157" s="9">
        <v>0</v>
      </c>
      <c r="J1157" s="9">
        <v>14700</v>
      </c>
      <c r="K1157" s="10">
        <v>14700</v>
      </c>
    </row>
    <row r="1158" spans="1:11" ht="15.75">
      <c r="A1158" s="5">
        <v>45220</v>
      </c>
      <c r="B1158" s="6" t="s">
        <v>12</v>
      </c>
      <c r="C1158" s="7">
        <v>13.99</v>
      </c>
      <c r="D1158" s="7">
        <v>10.9</v>
      </c>
      <c r="E1158" s="8">
        <v>4900</v>
      </c>
      <c r="F1158" s="6">
        <v>2600</v>
      </c>
      <c r="G1158" s="6">
        <v>7200</v>
      </c>
      <c r="H1158" s="9">
        <f t="shared" si="88"/>
        <v>14700</v>
      </c>
      <c r="I1158" s="9">
        <v>0</v>
      </c>
      <c r="J1158" s="9">
        <v>14700</v>
      </c>
      <c r="K1158" s="10">
        <v>14700</v>
      </c>
    </row>
    <row r="1159" spans="1:11" ht="15.75">
      <c r="A1159" s="5">
        <v>45221</v>
      </c>
      <c r="B1159" s="6" t="s">
        <v>12</v>
      </c>
      <c r="C1159" s="7">
        <v>13.99</v>
      </c>
      <c r="D1159" s="7">
        <v>10.9</v>
      </c>
      <c r="E1159" s="8">
        <v>4900</v>
      </c>
      <c r="F1159" s="6">
        <v>2600</v>
      </c>
      <c r="G1159" s="6">
        <v>7200</v>
      </c>
      <c r="H1159" s="9">
        <f t="shared" si="88"/>
        <v>14700</v>
      </c>
      <c r="I1159" s="9">
        <v>0</v>
      </c>
      <c r="J1159" s="9">
        <v>14700</v>
      </c>
      <c r="K1159" s="10">
        <v>14700</v>
      </c>
    </row>
    <row r="1160" spans="1:11" ht="15.75">
      <c r="A1160" s="5">
        <v>45222</v>
      </c>
      <c r="B1160" s="6" t="s">
        <v>12</v>
      </c>
      <c r="C1160" s="7">
        <v>13.99</v>
      </c>
      <c r="D1160" s="7">
        <v>10.9</v>
      </c>
      <c r="E1160" s="8">
        <v>4900</v>
      </c>
      <c r="F1160" s="6">
        <v>2600</v>
      </c>
      <c r="G1160" s="6">
        <v>7200</v>
      </c>
      <c r="H1160" s="9">
        <f t="shared" si="88"/>
        <v>14700</v>
      </c>
      <c r="I1160" s="9">
        <v>0</v>
      </c>
      <c r="J1160" s="9">
        <v>14700</v>
      </c>
      <c r="K1160" s="10">
        <v>14700</v>
      </c>
    </row>
    <row r="1161" spans="1:11" ht="15.75">
      <c r="A1161" s="5">
        <v>45223</v>
      </c>
      <c r="B1161" s="6" t="s">
        <v>12</v>
      </c>
      <c r="C1161" s="7">
        <v>13.99</v>
      </c>
      <c r="D1161" s="7">
        <v>10.9</v>
      </c>
      <c r="E1161" s="8">
        <v>4900</v>
      </c>
      <c r="F1161" s="6">
        <v>2600</v>
      </c>
      <c r="G1161" s="6">
        <v>7200</v>
      </c>
      <c r="H1161" s="9">
        <f t="shared" si="88"/>
        <v>14700</v>
      </c>
      <c r="I1161" s="9">
        <v>0</v>
      </c>
      <c r="J1161" s="9">
        <v>14700</v>
      </c>
      <c r="K1161" s="10">
        <v>14700</v>
      </c>
    </row>
    <row r="1162" spans="1:11" ht="15.75">
      <c r="A1162" s="5">
        <v>45224</v>
      </c>
      <c r="B1162" s="6" t="s">
        <v>12</v>
      </c>
      <c r="C1162" s="7">
        <v>13.99</v>
      </c>
      <c r="D1162" s="7">
        <v>10.9</v>
      </c>
      <c r="E1162" s="8">
        <v>4600</v>
      </c>
      <c r="F1162" s="6">
        <v>2600</v>
      </c>
      <c r="G1162" s="6">
        <v>7200</v>
      </c>
      <c r="H1162" s="9">
        <f t="shared" si="88"/>
        <v>14400</v>
      </c>
      <c r="I1162" s="9">
        <v>0</v>
      </c>
      <c r="J1162" s="9">
        <v>14400</v>
      </c>
      <c r="K1162" s="10">
        <v>14400</v>
      </c>
    </row>
    <row r="1163" spans="1:11" ht="15.75">
      <c r="A1163" s="5">
        <v>45225</v>
      </c>
      <c r="B1163" s="6" t="s">
        <v>12</v>
      </c>
      <c r="C1163" s="7">
        <v>13.99</v>
      </c>
      <c r="D1163" s="7">
        <v>10.9</v>
      </c>
      <c r="E1163" s="8">
        <v>4300</v>
      </c>
      <c r="F1163" s="6">
        <v>2600</v>
      </c>
      <c r="G1163" s="6">
        <v>7200</v>
      </c>
      <c r="H1163" s="9">
        <f t="shared" si="88"/>
        <v>14100</v>
      </c>
      <c r="I1163" s="9">
        <v>0</v>
      </c>
      <c r="J1163" s="9">
        <v>14100</v>
      </c>
      <c r="K1163" s="10">
        <v>14100</v>
      </c>
    </row>
    <row r="1164" spans="1:11" ht="15.75">
      <c r="A1164" s="5">
        <v>45226</v>
      </c>
      <c r="B1164" s="6" t="s">
        <v>12</v>
      </c>
      <c r="C1164" s="7">
        <v>13.99</v>
      </c>
      <c r="D1164" s="7">
        <v>10.9</v>
      </c>
      <c r="E1164" s="8">
        <v>4300</v>
      </c>
      <c r="F1164" s="6">
        <v>2600</v>
      </c>
      <c r="G1164" s="6">
        <v>2000</v>
      </c>
      <c r="H1164" s="9">
        <f t="shared" si="88"/>
        <v>8900</v>
      </c>
      <c r="I1164" s="9">
        <v>0</v>
      </c>
      <c r="J1164" s="9">
        <v>8900</v>
      </c>
      <c r="K1164" s="9">
        <v>8900</v>
      </c>
    </row>
    <row r="1165" spans="1:11" ht="15.75">
      <c r="A1165" s="5">
        <v>45227</v>
      </c>
      <c r="B1165" s="6" t="s">
        <v>12</v>
      </c>
      <c r="C1165" s="7">
        <v>13.99</v>
      </c>
      <c r="D1165" s="7">
        <v>10.9</v>
      </c>
      <c r="E1165" s="8">
        <v>4300</v>
      </c>
      <c r="F1165" s="6">
        <v>2600</v>
      </c>
      <c r="G1165" s="6">
        <v>7200</v>
      </c>
      <c r="H1165" s="9">
        <f t="shared" si="88"/>
        <v>14100</v>
      </c>
      <c r="I1165" s="9">
        <v>0</v>
      </c>
      <c r="J1165" s="9">
        <v>14100</v>
      </c>
      <c r="K1165" s="9">
        <v>14100</v>
      </c>
    </row>
    <row r="1166" spans="1:11" ht="15.75">
      <c r="A1166" s="5">
        <v>45228</v>
      </c>
      <c r="B1166" s="6" t="s">
        <v>12</v>
      </c>
      <c r="C1166" s="7">
        <v>13.99</v>
      </c>
      <c r="D1166" s="7">
        <v>10.9</v>
      </c>
      <c r="E1166" s="8">
        <v>3500</v>
      </c>
      <c r="F1166" s="6">
        <v>2600</v>
      </c>
      <c r="G1166" s="6">
        <v>7200</v>
      </c>
      <c r="H1166" s="9">
        <f t="shared" si="88"/>
        <v>13300</v>
      </c>
      <c r="I1166" s="9">
        <v>0</v>
      </c>
      <c r="J1166" s="9">
        <v>13300</v>
      </c>
      <c r="K1166" s="9">
        <v>13300</v>
      </c>
    </row>
    <row r="1167" spans="1:11" ht="15.75">
      <c r="A1167" s="5">
        <v>45229</v>
      </c>
      <c r="B1167" s="6" t="s">
        <v>12</v>
      </c>
      <c r="C1167" s="7">
        <v>13.99</v>
      </c>
      <c r="D1167" s="7">
        <v>10.9</v>
      </c>
      <c r="E1167" s="8">
        <v>3500</v>
      </c>
      <c r="F1167" s="6">
        <v>2600</v>
      </c>
      <c r="G1167" s="6">
        <v>7200</v>
      </c>
      <c r="H1167" s="9">
        <f t="shared" si="88"/>
        <v>13300</v>
      </c>
      <c r="I1167" s="9">
        <v>0</v>
      </c>
      <c r="J1167" s="9">
        <v>13300</v>
      </c>
      <c r="K1167" s="9">
        <v>13300</v>
      </c>
    </row>
    <row r="1168" spans="1:11" ht="15.75">
      <c r="A1168" s="5">
        <v>45230</v>
      </c>
      <c r="B1168" s="6" t="s">
        <v>12</v>
      </c>
      <c r="C1168" s="7">
        <v>13.99</v>
      </c>
      <c r="D1168" s="7">
        <v>10.9</v>
      </c>
      <c r="E1168" s="8">
        <v>3500</v>
      </c>
      <c r="F1168" s="6">
        <v>2600</v>
      </c>
      <c r="G1168" s="6">
        <v>7200</v>
      </c>
      <c r="H1168" s="9">
        <f t="shared" si="88"/>
        <v>13300</v>
      </c>
      <c r="I1168" s="9">
        <v>0</v>
      </c>
      <c r="J1168" s="9">
        <v>13300</v>
      </c>
      <c r="K1168" s="9">
        <v>13300</v>
      </c>
    </row>
    <row r="1169" spans="1:11" ht="15.75">
      <c r="A1169" s="2" t="s">
        <v>13</v>
      </c>
      <c r="B1169" s="2"/>
      <c r="C1169" s="2"/>
      <c r="D1169" s="2"/>
      <c r="E1169" s="11">
        <f t="shared" ref="E1169:K1169" si="89">SUM(E1138:E1168)</f>
        <v>140500</v>
      </c>
      <c r="F1169" s="11">
        <f t="shared" si="89"/>
        <v>77600</v>
      </c>
      <c r="G1169" s="11">
        <f t="shared" si="89"/>
        <v>202600</v>
      </c>
      <c r="H1169" s="11">
        <f t="shared" si="89"/>
        <v>420700</v>
      </c>
      <c r="I1169" s="11">
        <f t="shared" si="89"/>
        <v>2247217</v>
      </c>
      <c r="J1169" s="11">
        <f t="shared" si="89"/>
        <v>2667917</v>
      </c>
      <c r="K1169" s="11">
        <f t="shared" si="89"/>
        <v>2667916</v>
      </c>
    </row>
    <row r="1170" spans="1:11" ht="15.75">
      <c r="A1170" s="12"/>
      <c r="B1170" s="2"/>
      <c r="C1170" s="2"/>
      <c r="D1170" s="2"/>
      <c r="E1170" s="13">
        <f t="shared" ref="E1170:K1170" si="90">SUM(E1169/11575)</f>
        <v>12.138228941684666</v>
      </c>
      <c r="F1170" s="13">
        <f t="shared" si="90"/>
        <v>6.7041036717062639</v>
      </c>
      <c r="G1170" s="13">
        <f t="shared" si="90"/>
        <v>17.503239740820735</v>
      </c>
      <c r="H1170" s="13">
        <f t="shared" si="90"/>
        <v>36.345572354211662</v>
      </c>
      <c r="I1170" s="13">
        <f t="shared" si="90"/>
        <v>194.14401727861772</v>
      </c>
      <c r="J1170" s="13">
        <f t="shared" si="90"/>
        <v>230.48958963282936</v>
      </c>
      <c r="K1170" s="13">
        <f t="shared" si="90"/>
        <v>230.48950323974083</v>
      </c>
    </row>
    <row r="1171" spans="1:11" ht="15.75">
      <c r="A1171" s="1" t="s">
        <v>54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</row>
    <row r="1172" spans="1:11" ht="47.25">
      <c r="A1172" s="2" t="s">
        <v>1</v>
      </c>
      <c r="B1172" s="2" t="s">
        <v>2</v>
      </c>
      <c r="C1172" s="3" t="s">
        <v>18</v>
      </c>
      <c r="D1172" s="3" t="s">
        <v>4</v>
      </c>
      <c r="E1172" s="3" t="s">
        <v>5</v>
      </c>
      <c r="F1172" s="3" t="s">
        <v>6</v>
      </c>
      <c r="G1172" s="3" t="s">
        <v>7</v>
      </c>
      <c r="H1172" s="3" t="s">
        <v>8</v>
      </c>
      <c r="I1172" s="3" t="s">
        <v>9</v>
      </c>
      <c r="J1172" s="3" t="s">
        <v>19</v>
      </c>
      <c r="K1172" s="4" t="s">
        <v>11</v>
      </c>
    </row>
    <row r="1173" spans="1:11" ht="15.75">
      <c r="A1173" s="5">
        <v>45231</v>
      </c>
      <c r="B1173" s="6" t="s">
        <v>12</v>
      </c>
      <c r="C1173" s="7">
        <v>13.99</v>
      </c>
      <c r="D1173" s="7">
        <v>10.9</v>
      </c>
      <c r="E1173" s="8">
        <v>3000</v>
      </c>
      <c r="F1173" s="8">
        <v>2300</v>
      </c>
      <c r="G1173" s="8">
        <v>6000</v>
      </c>
      <c r="H1173" s="14">
        <f>E1173+F1173+G1173</f>
        <v>11300</v>
      </c>
      <c r="I1173" s="9">
        <v>0</v>
      </c>
      <c r="J1173" s="9">
        <v>11300</v>
      </c>
      <c r="K1173" s="10">
        <v>11300</v>
      </c>
    </row>
    <row r="1174" spans="1:11" ht="15.75">
      <c r="A1174" s="5">
        <v>45232</v>
      </c>
      <c r="B1174" s="6" t="s">
        <v>12</v>
      </c>
      <c r="C1174" s="7">
        <v>13.99</v>
      </c>
      <c r="D1174" s="7">
        <v>10.9</v>
      </c>
      <c r="E1174" s="8">
        <v>3000</v>
      </c>
      <c r="F1174" s="6">
        <v>2300</v>
      </c>
      <c r="G1174" s="8">
        <v>6000</v>
      </c>
      <c r="H1174" s="9">
        <f t="shared" ref="H1174:H1202" si="91">E1174+F1174+G1174</f>
        <v>11300</v>
      </c>
      <c r="I1174" s="9">
        <v>0</v>
      </c>
      <c r="J1174" s="9">
        <v>11300</v>
      </c>
      <c r="K1174" s="10">
        <v>11300</v>
      </c>
    </row>
    <row r="1175" spans="1:11" ht="15.75">
      <c r="A1175" s="5">
        <v>45233</v>
      </c>
      <c r="B1175" s="6" t="s">
        <v>12</v>
      </c>
      <c r="C1175" s="7">
        <v>13.99</v>
      </c>
      <c r="D1175" s="7">
        <v>10.9</v>
      </c>
      <c r="E1175" s="8">
        <v>3000</v>
      </c>
      <c r="F1175" s="6">
        <v>2300</v>
      </c>
      <c r="G1175" s="8">
        <v>6000</v>
      </c>
      <c r="H1175" s="9">
        <f t="shared" si="91"/>
        <v>11300</v>
      </c>
      <c r="I1175" s="9">
        <v>0</v>
      </c>
      <c r="J1175" s="9">
        <v>11300</v>
      </c>
      <c r="K1175" s="10">
        <v>11300</v>
      </c>
    </row>
    <row r="1176" spans="1:11" ht="15.75">
      <c r="A1176" s="5">
        <v>45234</v>
      </c>
      <c r="B1176" s="6" t="s">
        <v>12</v>
      </c>
      <c r="C1176" s="7">
        <v>13.99</v>
      </c>
      <c r="D1176" s="7">
        <v>10.9</v>
      </c>
      <c r="E1176" s="8">
        <v>2500</v>
      </c>
      <c r="F1176" s="6">
        <v>2300</v>
      </c>
      <c r="G1176" s="8">
        <v>6000</v>
      </c>
      <c r="H1176" s="9">
        <f t="shared" si="91"/>
        <v>10800</v>
      </c>
      <c r="I1176" s="9">
        <v>0</v>
      </c>
      <c r="J1176" s="9">
        <v>10800</v>
      </c>
      <c r="K1176" s="10">
        <v>10800</v>
      </c>
    </row>
    <row r="1177" spans="1:11" ht="15.75">
      <c r="A1177" s="5">
        <v>45235</v>
      </c>
      <c r="B1177" s="6" t="s">
        <v>12</v>
      </c>
      <c r="C1177" s="7">
        <v>13.99</v>
      </c>
      <c r="D1177" s="7">
        <v>10.9</v>
      </c>
      <c r="E1177" s="8">
        <v>2000</v>
      </c>
      <c r="F1177" s="6">
        <v>2300</v>
      </c>
      <c r="G1177" s="8">
        <v>5000</v>
      </c>
      <c r="H1177" s="9">
        <f t="shared" si="91"/>
        <v>9300</v>
      </c>
      <c r="I1177" s="9">
        <v>0</v>
      </c>
      <c r="J1177" s="9">
        <v>9300</v>
      </c>
      <c r="K1177" s="9">
        <v>9300</v>
      </c>
    </row>
    <row r="1178" spans="1:11" ht="15.75">
      <c r="A1178" s="5">
        <v>45236</v>
      </c>
      <c r="B1178" s="6" t="s">
        <v>12</v>
      </c>
      <c r="C1178" s="7">
        <v>13.99</v>
      </c>
      <c r="D1178" s="7">
        <v>10.9</v>
      </c>
      <c r="E1178" s="8">
        <v>2000</v>
      </c>
      <c r="F1178" s="6">
        <v>2300</v>
      </c>
      <c r="G1178" s="8">
        <v>5000</v>
      </c>
      <c r="H1178" s="9">
        <f t="shared" si="91"/>
        <v>9300</v>
      </c>
      <c r="I1178" s="9">
        <v>0</v>
      </c>
      <c r="J1178" s="9">
        <v>9300</v>
      </c>
      <c r="K1178" s="10">
        <v>9300</v>
      </c>
    </row>
    <row r="1179" spans="1:11" ht="15.75">
      <c r="A1179" s="5">
        <v>45237</v>
      </c>
      <c r="B1179" s="6" t="s">
        <v>12</v>
      </c>
      <c r="C1179" s="7">
        <v>13.99</v>
      </c>
      <c r="D1179" s="7">
        <v>10.9</v>
      </c>
      <c r="E1179" s="8">
        <v>1500</v>
      </c>
      <c r="F1179" s="6">
        <v>1500</v>
      </c>
      <c r="G1179" s="8">
        <v>4000</v>
      </c>
      <c r="H1179" s="9">
        <f t="shared" si="91"/>
        <v>7000</v>
      </c>
      <c r="I1179" s="9">
        <v>0</v>
      </c>
      <c r="J1179" s="9">
        <v>7000</v>
      </c>
      <c r="K1179" s="10">
        <v>7000</v>
      </c>
    </row>
    <row r="1180" spans="1:11" ht="15.75">
      <c r="A1180" s="5">
        <v>45238</v>
      </c>
      <c r="B1180" s="6" t="s">
        <v>12</v>
      </c>
      <c r="C1180" s="7">
        <v>13.99</v>
      </c>
      <c r="D1180" s="7">
        <v>10.9</v>
      </c>
      <c r="E1180" s="8">
        <v>1500</v>
      </c>
      <c r="F1180" s="6">
        <v>1500</v>
      </c>
      <c r="G1180" s="8">
        <v>4000</v>
      </c>
      <c r="H1180" s="9">
        <f t="shared" si="91"/>
        <v>7000</v>
      </c>
      <c r="I1180" s="9">
        <v>0</v>
      </c>
      <c r="J1180" s="9">
        <v>7000</v>
      </c>
      <c r="K1180" s="10">
        <v>7000</v>
      </c>
    </row>
    <row r="1181" spans="1:11" ht="15.75">
      <c r="A1181" s="5">
        <v>45239</v>
      </c>
      <c r="B1181" s="6" t="s">
        <v>12</v>
      </c>
      <c r="C1181" s="7">
        <v>13.99</v>
      </c>
      <c r="D1181" s="7">
        <v>10.9</v>
      </c>
      <c r="E1181" s="8">
        <v>1000</v>
      </c>
      <c r="F1181" s="6">
        <v>1000</v>
      </c>
      <c r="G1181" s="8">
        <v>3000</v>
      </c>
      <c r="H1181" s="9">
        <f t="shared" si="91"/>
        <v>5000</v>
      </c>
      <c r="I1181" s="9">
        <v>0</v>
      </c>
      <c r="J1181" s="9">
        <v>5000</v>
      </c>
      <c r="K1181" s="10">
        <v>5000</v>
      </c>
    </row>
    <row r="1182" spans="1:11" ht="15.75">
      <c r="A1182" s="5">
        <v>45240</v>
      </c>
      <c r="B1182" s="6" t="s">
        <v>12</v>
      </c>
      <c r="C1182" s="7">
        <v>13.99</v>
      </c>
      <c r="D1182" s="7">
        <v>10.9</v>
      </c>
      <c r="E1182" s="8">
        <v>1000</v>
      </c>
      <c r="F1182" s="6">
        <v>1000</v>
      </c>
      <c r="G1182" s="8">
        <v>3000</v>
      </c>
      <c r="H1182" s="9">
        <f t="shared" si="91"/>
        <v>5000</v>
      </c>
      <c r="I1182" s="9">
        <v>0</v>
      </c>
      <c r="J1182" s="10">
        <v>5000</v>
      </c>
      <c r="K1182" s="16">
        <v>5000</v>
      </c>
    </row>
    <row r="1183" spans="1:11" ht="15.75">
      <c r="A1183" s="5">
        <v>45241</v>
      </c>
      <c r="B1183" s="6" t="s">
        <v>12</v>
      </c>
      <c r="C1183" s="7">
        <v>13.99</v>
      </c>
      <c r="D1183" s="7">
        <v>10.9</v>
      </c>
      <c r="E1183" s="8">
        <v>1000</v>
      </c>
      <c r="F1183" s="6">
        <v>1200</v>
      </c>
      <c r="G1183" s="8">
        <v>3000</v>
      </c>
      <c r="H1183" s="9">
        <f t="shared" si="91"/>
        <v>5200</v>
      </c>
      <c r="I1183" s="9">
        <v>0</v>
      </c>
      <c r="J1183" s="9">
        <v>5200</v>
      </c>
      <c r="K1183" s="10">
        <v>5200</v>
      </c>
    </row>
    <row r="1184" spans="1:11" ht="15.75">
      <c r="A1184" s="5">
        <v>45242</v>
      </c>
      <c r="B1184" s="6" t="s">
        <v>12</v>
      </c>
      <c r="C1184" s="7">
        <v>13.99</v>
      </c>
      <c r="D1184" s="7">
        <v>10.9</v>
      </c>
      <c r="E1184" s="8">
        <v>1600</v>
      </c>
      <c r="F1184" s="6">
        <v>1400</v>
      </c>
      <c r="G1184" s="8">
        <v>4000</v>
      </c>
      <c r="H1184" s="9">
        <f t="shared" si="91"/>
        <v>7000</v>
      </c>
      <c r="I1184" s="9">
        <v>0</v>
      </c>
      <c r="J1184" s="9">
        <v>7000</v>
      </c>
      <c r="K1184" s="10">
        <v>7000</v>
      </c>
    </row>
    <row r="1185" spans="1:11" ht="15.75">
      <c r="A1185" s="5">
        <v>45243</v>
      </c>
      <c r="B1185" s="6" t="s">
        <v>12</v>
      </c>
      <c r="C1185" s="7">
        <v>13.99</v>
      </c>
      <c r="D1185" s="7">
        <v>10.9</v>
      </c>
      <c r="E1185" s="8">
        <v>1600</v>
      </c>
      <c r="F1185" s="6">
        <v>1400</v>
      </c>
      <c r="G1185" s="8">
        <v>4000</v>
      </c>
      <c r="H1185" s="9">
        <f t="shared" si="91"/>
        <v>7000</v>
      </c>
      <c r="I1185" s="9">
        <v>0</v>
      </c>
      <c r="J1185" s="9">
        <v>7000</v>
      </c>
      <c r="K1185" s="10">
        <v>7000</v>
      </c>
    </row>
    <row r="1186" spans="1:11" ht="15.75">
      <c r="A1186" s="5">
        <v>45244</v>
      </c>
      <c r="B1186" s="6" t="s">
        <v>12</v>
      </c>
      <c r="C1186" s="7">
        <v>13.99</v>
      </c>
      <c r="D1186" s="7">
        <v>10.9</v>
      </c>
      <c r="E1186" s="8">
        <v>1600</v>
      </c>
      <c r="F1186" s="6">
        <v>1400</v>
      </c>
      <c r="G1186" s="8">
        <v>4000</v>
      </c>
      <c r="H1186" s="9">
        <f t="shared" si="91"/>
        <v>7000</v>
      </c>
      <c r="I1186" s="9">
        <v>0</v>
      </c>
      <c r="J1186" s="9">
        <v>7000</v>
      </c>
      <c r="K1186" s="10">
        <v>7000</v>
      </c>
    </row>
    <row r="1187" spans="1:11" ht="15.75">
      <c r="A1187" s="5">
        <v>45245</v>
      </c>
      <c r="B1187" s="6" t="s">
        <v>12</v>
      </c>
      <c r="C1187" s="7">
        <v>13.99</v>
      </c>
      <c r="D1187" s="7">
        <v>10.9</v>
      </c>
      <c r="E1187" s="8">
        <v>1600</v>
      </c>
      <c r="F1187" s="6">
        <v>1400</v>
      </c>
      <c r="G1187" s="8">
        <v>4000</v>
      </c>
      <c r="H1187" s="9">
        <f t="shared" si="91"/>
        <v>7000</v>
      </c>
      <c r="I1187" s="9">
        <v>0</v>
      </c>
      <c r="J1187" s="9">
        <v>7000</v>
      </c>
      <c r="K1187" s="10">
        <v>7000</v>
      </c>
    </row>
    <row r="1188" spans="1:11" ht="15.75">
      <c r="A1188" s="5">
        <v>45246</v>
      </c>
      <c r="B1188" s="6" t="s">
        <v>12</v>
      </c>
      <c r="C1188" s="7">
        <v>13.99</v>
      </c>
      <c r="D1188" s="7">
        <v>10.9</v>
      </c>
      <c r="E1188" s="8">
        <v>1600</v>
      </c>
      <c r="F1188" s="6">
        <v>1400</v>
      </c>
      <c r="G1188" s="8">
        <v>4000</v>
      </c>
      <c r="H1188" s="9">
        <f t="shared" si="91"/>
        <v>7000</v>
      </c>
      <c r="I1188" s="9">
        <v>0</v>
      </c>
      <c r="J1188" s="9">
        <v>7000</v>
      </c>
      <c r="K1188" s="10">
        <v>7000</v>
      </c>
    </row>
    <row r="1189" spans="1:11" ht="15.75">
      <c r="A1189" s="5">
        <v>45247</v>
      </c>
      <c r="B1189" s="6" t="s">
        <v>12</v>
      </c>
      <c r="C1189" s="7">
        <v>13.99</v>
      </c>
      <c r="D1189" s="7">
        <v>10.9</v>
      </c>
      <c r="E1189" s="8">
        <v>1600</v>
      </c>
      <c r="F1189" s="6">
        <v>1400</v>
      </c>
      <c r="G1189" s="8">
        <v>4000</v>
      </c>
      <c r="H1189" s="9">
        <f t="shared" si="91"/>
        <v>7000</v>
      </c>
      <c r="I1189" s="9">
        <v>0</v>
      </c>
      <c r="J1189" s="9">
        <v>7000</v>
      </c>
      <c r="K1189" s="10">
        <v>7000</v>
      </c>
    </row>
    <row r="1190" spans="1:11" ht="15.75">
      <c r="A1190" s="5">
        <v>45248</v>
      </c>
      <c r="B1190" s="6" t="s">
        <v>12</v>
      </c>
      <c r="C1190" s="7">
        <v>13.99</v>
      </c>
      <c r="D1190" s="7">
        <v>10.9</v>
      </c>
      <c r="E1190" s="8">
        <v>1600</v>
      </c>
      <c r="F1190" s="6">
        <v>1400</v>
      </c>
      <c r="G1190" s="8">
        <v>4000</v>
      </c>
      <c r="H1190" s="9">
        <f t="shared" si="91"/>
        <v>7000</v>
      </c>
      <c r="I1190" s="9">
        <v>0</v>
      </c>
      <c r="J1190" s="9">
        <v>7000</v>
      </c>
      <c r="K1190" s="10">
        <v>7000</v>
      </c>
    </row>
    <row r="1191" spans="1:11" ht="15.75">
      <c r="A1191" s="5">
        <v>45249</v>
      </c>
      <c r="B1191" s="6" t="s">
        <v>12</v>
      </c>
      <c r="C1191" s="7">
        <v>13.99</v>
      </c>
      <c r="D1191" s="7">
        <v>10.9</v>
      </c>
      <c r="E1191" s="8">
        <v>1600</v>
      </c>
      <c r="F1191" s="6">
        <v>1400</v>
      </c>
      <c r="G1191" s="8">
        <v>4000</v>
      </c>
      <c r="H1191" s="9">
        <f t="shared" si="91"/>
        <v>7000</v>
      </c>
      <c r="I1191" s="9">
        <v>0</v>
      </c>
      <c r="J1191" s="9">
        <v>7000</v>
      </c>
      <c r="K1191" s="10">
        <v>7000</v>
      </c>
    </row>
    <row r="1192" spans="1:11" ht="15.75">
      <c r="A1192" s="5">
        <v>45250</v>
      </c>
      <c r="B1192" s="6" t="s">
        <v>12</v>
      </c>
      <c r="C1192" s="7">
        <v>13.99</v>
      </c>
      <c r="D1192" s="7">
        <v>10.9</v>
      </c>
      <c r="E1192" s="8">
        <v>1600</v>
      </c>
      <c r="F1192" s="6">
        <v>1400</v>
      </c>
      <c r="G1192" s="8">
        <v>4000</v>
      </c>
      <c r="H1192" s="9">
        <f t="shared" si="91"/>
        <v>7000</v>
      </c>
      <c r="I1192" s="9">
        <v>0</v>
      </c>
      <c r="J1192" s="9">
        <v>7000</v>
      </c>
      <c r="K1192" s="10">
        <v>7000</v>
      </c>
    </row>
    <row r="1193" spans="1:11" ht="15.75">
      <c r="A1193" s="5">
        <v>45251</v>
      </c>
      <c r="B1193" s="6" t="s">
        <v>12</v>
      </c>
      <c r="C1193" s="7">
        <v>13.99</v>
      </c>
      <c r="D1193" s="7">
        <v>10.9</v>
      </c>
      <c r="E1193" s="8">
        <v>1600</v>
      </c>
      <c r="F1193" s="6">
        <v>1400</v>
      </c>
      <c r="G1193" s="8">
        <v>4000</v>
      </c>
      <c r="H1193" s="9">
        <f t="shared" si="91"/>
        <v>7000</v>
      </c>
      <c r="I1193" s="9">
        <v>0</v>
      </c>
      <c r="J1193" s="9">
        <v>7000</v>
      </c>
      <c r="K1193" s="10">
        <v>7000</v>
      </c>
    </row>
    <row r="1194" spans="1:11" ht="15.75">
      <c r="A1194" s="5">
        <v>45252</v>
      </c>
      <c r="B1194" s="6" t="s">
        <v>12</v>
      </c>
      <c r="C1194" s="7">
        <v>13.99</v>
      </c>
      <c r="D1194" s="7">
        <v>10.9</v>
      </c>
      <c r="E1194" s="8">
        <v>600</v>
      </c>
      <c r="F1194" s="6">
        <v>1400</v>
      </c>
      <c r="G1194" s="8">
        <v>4000</v>
      </c>
      <c r="H1194" s="9">
        <f t="shared" si="91"/>
        <v>6000</v>
      </c>
      <c r="I1194" s="9">
        <v>0</v>
      </c>
      <c r="J1194" s="9">
        <v>6000</v>
      </c>
      <c r="K1194" s="10">
        <v>6000</v>
      </c>
    </row>
    <row r="1195" spans="1:11" ht="15.75">
      <c r="A1195" s="5">
        <v>45253</v>
      </c>
      <c r="B1195" s="6" t="s">
        <v>12</v>
      </c>
      <c r="C1195" s="7">
        <v>13.99</v>
      </c>
      <c r="D1195" s="7">
        <v>10.9</v>
      </c>
      <c r="E1195" s="8">
        <v>600</v>
      </c>
      <c r="F1195" s="6">
        <v>1400</v>
      </c>
      <c r="G1195" s="8">
        <v>4000</v>
      </c>
      <c r="H1195" s="9">
        <f t="shared" si="91"/>
        <v>6000</v>
      </c>
      <c r="I1195" s="9">
        <v>0</v>
      </c>
      <c r="J1195" s="9">
        <v>6000</v>
      </c>
      <c r="K1195" s="10">
        <v>6000</v>
      </c>
    </row>
    <row r="1196" spans="1:11" ht="15.75">
      <c r="A1196" s="5">
        <v>45254</v>
      </c>
      <c r="B1196" s="6" t="s">
        <v>12</v>
      </c>
      <c r="C1196" s="7">
        <v>13.99</v>
      </c>
      <c r="D1196" s="7">
        <v>10.9</v>
      </c>
      <c r="E1196" s="8">
        <v>600</v>
      </c>
      <c r="F1196" s="6">
        <v>1400</v>
      </c>
      <c r="G1196" s="8">
        <v>4000</v>
      </c>
      <c r="H1196" s="9">
        <f t="shared" si="91"/>
        <v>6000</v>
      </c>
      <c r="I1196" s="9">
        <v>0</v>
      </c>
      <c r="J1196" s="9">
        <v>6000</v>
      </c>
      <c r="K1196" s="10">
        <v>6000</v>
      </c>
    </row>
    <row r="1197" spans="1:11" ht="15.75">
      <c r="A1197" s="5">
        <v>45255</v>
      </c>
      <c r="B1197" s="6" t="s">
        <v>12</v>
      </c>
      <c r="C1197" s="7">
        <v>13.99</v>
      </c>
      <c r="D1197" s="7">
        <v>10.9</v>
      </c>
      <c r="E1197" s="8">
        <v>600</v>
      </c>
      <c r="F1197" s="6">
        <v>1400</v>
      </c>
      <c r="G1197" s="8">
        <v>4000</v>
      </c>
      <c r="H1197" s="9">
        <f t="shared" si="91"/>
        <v>6000</v>
      </c>
      <c r="I1197" s="9">
        <v>0</v>
      </c>
      <c r="J1197" s="9">
        <v>6000</v>
      </c>
      <c r="K1197" s="10">
        <v>6000</v>
      </c>
    </row>
    <row r="1198" spans="1:11" ht="15.75">
      <c r="A1198" s="5">
        <v>45256</v>
      </c>
      <c r="B1198" s="6" t="s">
        <v>12</v>
      </c>
      <c r="C1198" s="7">
        <v>13.99</v>
      </c>
      <c r="D1198" s="7">
        <v>10.9</v>
      </c>
      <c r="E1198" s="8">
        <v>600</v>
      </c>
      <c r="F1198" s="6">
        <v>1400</v>
      </c>
      <c r="G1198" s="8">
        <v>4000</v>
      </c>
      <c r="H1198" s="9">
        <f t="shared" si="91"/>
        <v>6000</v>
      </c>
      <c r="I1198" s="9">
        <v>0</v>
      </c>
      <c r="J1198" s="9">
        <v>6000</v>
      </c>
      <c r="K1198" s="10">
        <v>6000</v>
      </c>
    </row>
    <row r="1199" spans="1:11" ht="15.75">
      <c r="A1199" s="5">
        <v>45257</v>
      </c>
      <c r="B1199" s="6" t="s">
        <v>12</v>
      </c>
      <c r="C1199" s="7">
        <v>13.99</v>
      </c>
      <c r="D1199" s="7">
        <v>10.9</v>
      </c>
      <c r="E1199" s="8">
        <v>0</v>
      </c>
      <c r="F1199" s="6">
        <v>600</v>
      </c>
      <c r="G1199" s="6">
        <v>3000</v>
      </c>
      <c r="H1199" s="9">
        <f t="shared" si="91"/>
        <v>3600</v>
      </c>
      <c r="I1199" s="9">
        <v>0</v>
      </c>
      <c r="J1199" s="9">
        <v>3600</v>
      </c>
      <c r="K1199" s="9">
        <v>3600</v>
      </c>
    </row>
    <row r="1200" spans="1:11" ht="15.75">
      <c r="A1200" s="5">
        <v>45258</v>
      </c>
      <c r="B1200" s="6" t="s">
        <v>12</v>
      </c>
      <c r="C1200" s="7">
        <v>13.72</v>
      </c>
      <c r="D1200" s="7">
        <v>10</v>
      </c>
      <c r="E1200" s="8">
        <v>300</v>
      </c>
      <c r="F1200" s="6">
        <v>600</v>
      </c>
      <c r="G1200" s="6">
        <v>2000</v>
      </c>
      <c r="H1200" s="9">
        <f t="shared" si="91"/>
        <v>2900</v>
      </c>
      <c r="I1200" s="9">
        <v>0</v>
      </c>
      <c r="J1200" s="9">
        <v>2900</v>
      </c>
      <c r="K1200" s="9">
        <v>816</v>
      </c>
    </row>
    <row r="1201" spans="1:11" ht="15.75">
      <c r="A1201" s="5">
        <v>45259</v>
      </c>
      <c r="B1201" s="6" t="s">
        <v>12</v>
      </c>
      <c r="C1201" s="7">
        <v>13.57</v>
      </c>
      <c r="D1201" s="7">
        <v>9.5</v>
      </c>
      <c r="E1201" s="8">
        <v>1000</v>
      </c>
      <c r="F1201" s="6">
        <v>600</v>
      </c>
      <c r="G1201" s="6">
        <v>2000</v>
      </c>
      <c r="H1201" s="9">
        <f t="shared" si="91"/>
        <v>3600</v>
      </c>
      <c r="I1201" s="9">
        <v>0</v>
      </c>
      <c r="J1201" s="9">
        <v>3600</v>
      </c>
      <c r="K1201" s="9">
        <v>2442</v>
      </c>
    </row>
    <row r="1202" spans="1:11" ht="15.75">
      <c r="A1202" s="5">
        <v>45260</v>
      </c>
      <c r="B1202" s="6" t="s">
        <v>12</v>
      </c>
      <c r="C1202" s="7">
        <v>13.47</v>
      </c>
      <c r="D1202" s="7">
        <v>9.1999999999999993</v>
      </c>
      <c r="E1202" s="8">
        <v>1300</v>
      </c>
      <c r="F1202" s="6">
        <v>600</v>
      </c>
      <c r="G1202" s="6">
        <v>2000</v>
      </c>
      <c r="H1202" s="9">
        <f t="shared" si="91"/>
        <v>3900</v>
      </c>
      <c r="I1202" s="9">
        <v>0</v>
      </c>
      <c r="J1202" s="9">
        <v>3900</v>
      </c>
      <c r="K1202" s="9">
        <v>1972</v>
      </c>
    </row>
    <row r="1203" spans="1:11" ht="15.75">
      <c r="A1203" s="2" t="s">
        <v>13</v>
      </c>
      <c r="B1203" s="2"/>
      <c r="C1203" s="2"/>
      <c r="D1203" s="2"/>
      <c r="E1203" s="11">
        <f t="shared" ref="E1203:J1203" si="92">SUM(E1173:E1202)</f>
        <v>43100</v>
      </c>
      <c r="F1203" s="11">
        <f t="shared" si="92"/>
        <v>43400</v>
      </c>
      <c r="G1203" s="11">
        <f t="shared" si="92"/>
        <v>120000</v>
      </c>
      <c r="H1203" s="11">
        <f t="shared" si="92"/>
        <v>206500</v>
      </c>
      <c r="I1203" s="11">
        <f t="shared" si="92"/>
        <v>0</v>
      </c>
      <c r="J1203" s="11">
        <f t="shared" si="92"/>
        <v>206500</v>
      </c>
      <c r="K1203" s="11">
        <f>SUM(K1173:K1202)</f>
        <v>201330</v>
      </c>
    </row>
    <row r="1204" spans="1:11" ht="15.75">
      <c r="A1204" s="12"/>
      <c r="B1204" s="2"/>
      <c r="C1204" s="2"/>
      <c r="D1204" s="2"/>
      <c r="E1204" s="13">
        <f t="shared" ref="E1204:K1204" si="93">SUM(E1203/11575)</f>
        <v>3.7235421166306697</v>
      </c>
      <c r="F1204" s="13">
        <f t="shared" si="93"/>
        <v>3.7494600431965441</v>
      </c>
      <c r="G1204" s="13">
        <f t="shared" si="93"/>
        <v>10.367170626349893</v>
      </c>
      <c r="H1204" s="13">
        <f t="shared" si="93"/>
        <v>17.840172786177106</v>
      </c>
      <c r="I1204" s="13">
        <f t="shared" si="93"/>
        <v>0</v>
      </c>
      <c r="J1204" s="13">
        <f t="shared" si="93"/>
        <v>17.840172786177106</v>
      </c>
      <c r="K1204" s="13">
        <f t="shared" si="93"/>
        <v>17.393520518358532</v>
      </c>
    </row>
    <row r="1205" spans="1:11" ht="15.75">
      <c r="A1205" s="1" t="s">
        <v>55</v>
      </c>
      <c r="B1205" s="1"/>
      <c r="C1205" s="1"/>
      <c r="D1205" s="1"/>
      <c r="E1205" s="1"/>
      <c r="F1205" s="1"/>
      <c r="G1205" s="1"/>
      <c r="H1205" s="1"/>
      <c r="I1205" s="1"/>
      <c r="J1205" s="1"/>
      <c r="K1205" s="1"/>
    </row>
    <row r="1206" spans="1:11" ht="47.25">
      <c r="A1206" s="2" t="s">
        <v>1</v>
      </c>
      <c r="B1206" s="2" t="s">
        <v>2</v>
      </c>
      <c r="C1206" s="3" t="s">
        <v>18</v>
      </c>
      <c r="D1206" s="3" t="s">
        <v>4</v>
      </c>
      <c r="E1206" s="3" t="s">
        <v>5</v>
      </c>
      <c r="F1206" s="3" t="s">
        <v>6</v>
      </c>
      <c r="G1206" s="3" t="s">
        <v>7</v>
      </c>
      <c r="H1206" s="3" t="s">
        <v>8</v>
      </c>
      <c r="I1206" s="3" t="s">
        <v>9</v>
      </c>
      <c r="J1206" s="3" t="s">
        <v>19</v>
      </c>
      <c r="K1206" s="4" t="s">
        <v>11</v>
      </c>
    </row>
    <row r="1207" spans="1:11" ht="15.75">
      <c r="A1207" s="5">
        <v>45261</v>
      </c>
      <c r="B1207" s="6" t="s">
        <v>12</v>
      </c>
      <c r="C1207" s="7">
        <v>13.44</v>
      </c>
      <c r="D1207" s="7">
        <v>9.1</v>
      </c>
      <c r="E1207" s="8">
        <v>1300</v>
      </c>
      <c r="F1207" s="8">
        <v>600</v>
      </c>
      <c r="G1207" s="8">
        <v>2000</v>
      </c>
      <c r="H1207" s="9">
        <f t="shared" ref="H1207:H1237" si="94">E1207+F1207+G1207</f>
        <v>3900</v>
      </c>
      <c r="I1207" s="9">
        <v>0</v>
      </c>
      <c r="J1207" s="9">
        <v>3900</v>
      </c>
      <c r="K1207" s="10">
        <v>3668</v>
      </c>
    </row>
    <row r="1208" spans="1:11" ht="15.75">
      <c r="A1208" s="5">
        <v>45262</v>
      </c>
      <c r="B1208" s="6" t="s">
        <v>12</v>
      </c>
      <c r="C1208" s="7">
        <v>13.47</v>
      </c>
      <c r="D1208" s="7">
        <v>9.1999999999999993</v>
      </c>
      <c r="E1208" s="8">
        <v>1300</v>
      </c>
      <c r="F1208" s="6">
        <v>600</v>
      </c>
      <c r="G1208" s="8">
        <v>2000</v>
      </c>
      <c r="H1208" s="9">
        <f t="shared" si="94"/>
        <v>3900</v>
      </c>
      <c r="I1208" s="9">
        <v>0</v>
      </c>
      <c r="J1208" s="9">
        <v>3900</v>
      </c>
      <c r="K1208" s="10">
        <v>4132</v>
      </c>
    </row>
    <row r="1209" spans="1:11" ht="15.75">
      <c r="A1209" s="5">
        <v>45263</v>
      </c>
      <c r="B1209" s="6" t="s">
        <v>12</v>
      </c>
      <c r="C1209" s="7">
        <v>13.53</v>
      </c>
      <c r="D1209" s="7">
        <v>9.4</v>
      </c>
      <c r="E1209" s="8">
        <v>1600</v>
      </c>
      <c r="F1209" s="6">
        <v>600</v>
      </c>
      <c r="G1209" s="8">
        <v>2000</v>
      </c>
      <c r="H1209" s="9">
        <f t="shared" si="94"/>
        <v>4200</v>
      </c>
      <c r="I1209" s="9">
        <v>0</v>
      </c>
      <c r="J1209" s="9">
        <v>4200</v>
      </c>
      <c r="K1209" s="10">
        <v>4663</v>
      </c>
    </row>
    <row r="1210" spans="1:11" ht="15.75">
      <c r="A1210" s="5">
        <v>45264</v>
      </c>
      <c r="B1210" s="6" t="s">
        <v>12</v>
      </c>
      <c r="C1210" s="7">
        <v>13.63</v>
      </c>
      <c r="D1210" s="7">
        <v>9.6999999999999993</v>
      </c>
      <c r="E1210" s="8">
        <v>1000</v>
      </c>
      <c r="F1210" s="6">
        <v>600</v>
      </c>
      <c r="G1210" s="8">
        <v>2000</v>
      </c>
      <c r="H1210" s="9">
        <f t="shared" si="94"/>
        <v>3600</v>
      </c>
      <c r="I1210" s="9">
        <v>0</v>
      </c>
      <c r="J1210" s="9">
        <v>3600</v>
      </c>
      <c r="K1210" s="10">
        <v>4371</v>
      </c>
    </row>
    <row r="1211" spans="1:11" ht="15.75">
      <c r="A1211" s="5">
        <v>45265</v>
      </c>
      <c r="B1211" s="6" t="s">
        <v>12</v>
      </c>
      <c r="C1211" s="7">
        <v>13.78</v>
      </c>
      <c r="D1211" s="7">
        <v>10.199999999999999</v>
      </c>
      <c r="E1211" s="8">
        <v>600</v>
      </c>
      <c r="F1211" s="6">
        <v>200</v>
      </c>
      <c r="G1211" s="8">
        <v>0</v>
      </c>
      <c r="H1211" s="9">
        <f t="shared" si="94"/>
        <v>800</v>
      </c>
      <c r="I1211" s="9">
        <v>0</v>
      </c>
      <c r="J1211" s="9">
        <v>800</v>
      </c>
      <c r="K1211" s="9">
        <v>1958</v>
      </c>
    </row>
    <row r="1212" spans="1:11" ht="15.75">
      <c r="A1212" s="5">
        <v>45266</v>
      </c>
      <c r="B1212" s="6" t="s">
        <v>12</v>
      </c>
      <c r="C1212" s="7">
        <v>13.99</v>
      </c>
      <c r="D1212" s="7">
        <v>10.9</v>
      </c>
      <c r="E1212" s="8">
        <v>300</v>
      </c>
      <c r="F1212" s="6">
        <v>200</v>
      </c>
      <c r="G1212" s="8">
        <v>0</v>
      </c>
      <c r="H1212" s="9">
        <f t="shared" si="94"/>
        <v>500</v>
      </c>
      <c r="I1212" s="9">
        <v>24375</v>
      </c>
      <c r="J1212" s="9">
        <v>24875</v>
      </c>
      <c r="K1212" s="10">
        <v>26496</v>
      </c>
    </row>
    <row r="1213" spans="1:11" ht="15.75">
      <c r="A1213" s="5">
        <v>45267</v>
      </c>
      <c r="B1213" s="6" t="s">
        <v>12</v>
      </c>
      <c r="C1213" s="7">
        <v>13.99</v>
      </c>
      <c r="D1213" s="7">
        <v>10.9</v>
      </c>
      <c r="E1213" s="8">
        <v>0</v>
      </c>
      <c r="F1213" s="6">
        <v>200</v>
      </c>
      <c r="G1213" s="8">
        <v>0</v>
      </c>
      <c r="H1213" s="9">
        <f t="shared" si="94"/>
        <v>200</v>
      </c>
      <c r="I1213" s="9">
        <v>146768</v>
      </c>
      <c r="J1213" s="9">
        <v>146968</v>
      </c>
      <c r="K1213" s="10">
        <v>146968</v>
      </c>
    </row>
    <row r="1214" spans="1:11" ht="15.75">
      <c r="A1214" s="5">
        <v>45268</v>
      </c>
      <c r="B1214" s="6" t="s">
        <v>12</v>
      </c>
      <c r="C1214" s="7">
        <v>13.99</v>
      </c>
      <c r="D1214" s="7">
        <v>10.9</v>
      </c>
      <c r="E1214" s="8">
        <v>0</v>
      </c>
      <c r="F1214" s="6">
        <v>0</v>
      </c>
      <c r="G1214" s="8">
        <v>0</v>
      </c>
      <c r="H1214" s="9">
        <f t="shared" si="94"/>
        <v>0</v>
      </c>
      <c r="I1214" s="9">
        <v>12124</v>
      </c>
      <c r="J1214" s="9">
        <v>12124</v>
      </c>
      <c r="K1214" s="10">
        <v>12124</v>
      </c>
    </row>
    <row r="1215" spans="1:11" ht="15.75">
      <c r="A1215" s="5">
        <v>45269</v>
      </c>
      <c r="B1215" s="6" t="s">
        <v>12</v>
      </c>
      <c r="C1215" s="7">
        <v>13.99</v>
      </c>
      <c r="D1215" s="7">
        <v>10.9</v>
      </c>
      <c r="E1215" s="8">
        <v>0</v>
      </c>
      <c r="F1215" s="6">
        <v>0</v>
      </c>
      <c r="G1215" s="8">
        <v>0</v>
      </c>
      <c r="H1215" s="9">
        <f t="shared" si="94"/>
        <v>0</v>
      </c>
      <c r="I1215" s="9">
        <v>12124</v>
      </c>
      <c r="J1215" s="9">
        <v>12124</v>
      </c>
      <c r="K1215" s="10">
        <v>12124</v>
      </c>
    </row>
    <row r="1216" spans="1:11" ht="15.75">
      <c r="A1216" s="5">
        <v>45270</v>
      </c>
      <c r="B1216" s="6" t="s">
        <v>12</v>
      </c>
      <c r="C1216" s="7">
        <v>13.99</v>
      </c>
      <c r="D1216" s="7">
        <v>10.9</v>
      </c>
      <c r="E1216" s="8">
        <v>0</v>
      </c>
      <c r="F1216" s="6">
        <v>0</v>
      </c>
      <c r="G1216" s="8">
        <v>0</v>
      </c>
      <c r="H1216" s="9">
        <f t="shared" si="94"/>
        <v>0</v>
      </c>
      <c r="I1216" s="9">
        <v>12124</v>
      </c>
      <c r="J1216" s="9">
        <v>12124</v>
      </c>
      <c r="K1216" s="10">
        <v>12124</v>
      </c>
    </row>
    <row r="1217" spans="1:11" ht="15.75">
      <c r="A1217" s="5">
        <v>45271</v>
      </c>
      <c r="B1217" s="6" t="s">
        <v>12</v>
      </c>
      <c r="C1217" s="7">
        <v>13.99</v>
      </c>
      <c r="D1217" s="7">
        <v>10.9</v>
      </c>
      <c r="E1217" s="8">
        <v>0</v>
      </c>
      <c r="F1217" s="6">
        <v>0</v>
      </c>
      <c r="G1217" s="8">
        <v>0</v>
      </c>
      <c r="H1217" s="9">
        <f t="shared" si="94"/>
        <v>0</v>
      </c>
      <c r="I1217" s="9">
        <v>12124</v>
      </c>
      <c r="J1217" s="9">
        <v>12124</v>
      </c>
      <c r="K1217" s="10">
        <v>12124</v>
      </c>
    </row>
    <row r="1218" spans="1:11" ht="15.75">
      <c r="A1218" s="5">
        <v>45272</v>
      </c>
      <c r="B1218" s="6" t="s">
        <v>12</v>
      </c>
      <c r="C1218" s="7">
        <v>13.99</v>
      </c>
      <c r="D1218" s="7">
        <v>10.9</v>
      </c>
      <c r="E1218" s="8">
        <v>600</v>
      </c>
      <c r="F1218" s="6">
        <v>0</v>
      </c>
      <c r="G1218" s="8">
        <v>0</v>
      </c>
      <c r="H1218" s="9">
        <f t="shared" si="94"/>
        <v>600</v>
      </c>
      <c r="I1218" s="9">
        <v>12124</v>
      </c>
      <c r="J1218" s="9">
        <v>12724</v>
      </c>
      <c r="K1218" s="10">
        <v>12724</v>
      </c>
    </row>
    <row r="1219" spans="1:11" ht="15.75">
      <c r="A1219" s="5">
        <v>45273</v>
      </c>
      <c r="B1219" s="6" t="s">
        <v>12</v>
      </c>
      <c r="C1219" s="7">
        <v>13.99</v>
      </c>
      <c r="D1219" s="7">
        <v>10.9</v>
      </c>
      <c r="E1219" s="8">
        <v>1800</v>
      </c>
      <c r="F1219" s="8">
        <v>300</v>
      </c>
      <c r="G1219" s="6">
        <v>3000</v>
      </c>
      <c r="H1219" s="9">
        <f t="shared" si="94"/>
        <v>5100</v>
      </c>
      <c r="I1219" s="9">
        <v>12124</v>
      </c>
      <c r="J1219" s="9">
        <v>17224</v>
      </c>
      <c r="K1219" s="10">
        <v>17224</v>
      </c>
    </row>
    <row r="1220" spans="1:11" ht="15.75">
      <c r="A1220" s="5">
        <v>45274</v>
      </c>
      <c r="B1220" s="6" t="s">
        <v>12</v>
      </c>
      <c r="C1220" s="7">
        <v>13.99</v>
      </c>
      <c r="D1220" s="7">
        <v>10.9</v>
      </c>
      <c r="E1220" s="8">
        <v>2800</v>
      </c>
      <c r="F1220" s="6">
        <v>300</v>
      </c>
      <c r="G1220" s="6">
        <v>3000</v>
      </c>
      <c r="H1220" s="9">
        <f t="shared" si="94"/>
        <v>6100</v>
      </c>
      <c r="I1220" s="9">
        <v>12124</v>
      </c>
      <c r="J1220" s="9">
        <v>18224</v>
      </c>
      <c r="K1220" s="10">
        <v>18224</v>
      </c>
    </row>
    <row r="1221" spans="1:11" ht="15.75">
      <c r="A1221" s="5">
        <v>45275</v>
      </c>
      <c r="B1221" s="6" t="s">
        <v>12</v>
      </c>
      <c r="C1221" s="7">
        <v>13.99</v>
      </c>
      <c r="D1221" s="7">
        <v>10.9</v>
      </c>
      <c r="E1221" s="8">
        <v>2800</v>
      </c>
      <c r="F1221" s="6">
        <v>300</v>
      </c>
      <c r="G1221" s="6">
        <v>3000</v>
      </c>
      <c r="H1221" s="9">
        <f t="shared" si="94"/>
        <v>6100</v>
      </c>
      <c r="I1221" s="9">
        <v>12124</v>
      </c>
      <c r="J1221" s="9">
        <v>18224</v>
      </c>
      <c r="K1221" s="10">
        <v>18224</v>
      </c>
    </row>
    <row r="1222" spans="1:11" ht="15.75">
      <c r="A1222" s="5">
        <v>45276</v>
      </c>
      <c r="B1222" s="6" t="s">
        <v>12</v>
      </c>
      <c r="C1222" s="7">
        <v>13.99</v>
      </c>
      <c r="D1222" s="7">
        <v>10.9</v>
      </c>
      <c r="E1222" s="8">
        <v>2800</v>
      </c>
      <c r="F1222" s="6">
        <v>300</v>
      </c>
      <c r="G1222" s="6">
        <v>5000</v>
      </c>
      <c r="H1222" s="9">
        <f t="shared" si="94"/>
        <v>8100</v>
      </c>
      <c r="I1222" s="9">
        <v>12124</v>
      </c>
      <c r="J1222" s="9">
        <v>20224</v>
      </c>
      <c r="K1222" s="10">
        <v>20224</v>
      </c>
    </row>
    <row r="1223" spans="1:11" ht="15.75">
      <c r="A1223" s="5">
        <v>45277</v>
      </c>
      <c r="B1223" s="6" t="s">
        <v>12</v>
      </c>
      <c r="C1223" s="7">
        <v>13.99</v>
      </c>
      <c r="D1223" s="7">
        <v>10.9</v>
      </c>
      <c r="E1223" s="8">
        <v>2800</v>
      </c>
      <c r="F1223" s="6">
        <v>400</v>
      </c>
      <c r="G1223" s="6">
        <v>5000</v>
      </c>
      <c r="H1223" s="9">
        <f t="shared" si="94"/>
        <v>8200</v>
      </c>
      <c r="I1223" s="9">
        <v>12124</v>
      </c>
      <c r="J1223" s="9">
        <v>20324</v>
      </c>
      <c r="K1223" s="10">
        <v>20324</v>
      </c>
    </row>
    <row r="1224" spans="1:11" ht="15.75">
      <c r="A1224" s="5">
        <v>45278</v>
      </c>
      <c r="B1224" s="6" t="s">
        <v>12</v>
      </c>
      <c r="C1224" s="7">
        <v>13.99</v>
      </c>
      <c r="D1224" s="7">
        <v>10.9</v>
      </c>
      <c r="E1224" s="8">
        <v>2800</v>
      </c>
      <c r="F1224" s="6">
        <v>400</v>
      </c>
      <c r="G1224" s="6">
        <v>5000</v>
      </c>
      <c r="H1224" s="9">
        <f t="shared" si="94"/>
        <v>8200</v>
      </c>
      <c r="I1224" s="9">
        <v>6030</v>
      </c>
      <c r="J1224" s="9">
        <v>14230</v>
      </c>
      <c r="K1224" s="10">
        <v>14230</v>
      </c>
    </row>
    <row r="1225" spans="1:11" ht="15.75">
      <c r="A1225" s="5">
        <v>45279</v>
      </c>
      <c r="B1225" s="6" t="s">
        <v>12</v>
      </c>
      <c r="C1225" s="7">
        <v>13.99</v>
      </c>
      <c r="D1225" s="7">
        <v>10.9</v>
      </c>
      <c r="E1225" s="8">
        <v>3100</v>
      </c>
      <c r="F1225" s="6">
        <v>400</v>
      </c>
      <c r="G1225" s="6">
        <v>5000</v>
      </c>
      <c r="H1225" s="9">
        <f t="shared" si="94"/>
        <v>8500</v>
      </c>
      <c r="I1225" s="9">
        <v>6030</v>
      </c>
      <c r="J1225" s="9">
        <v>14530</v>
      </c>
      <c r="K1225" s="10">
        <v>14530</v>
      </c>
    </row>
    <row r="1226" spans="1:11" ht="15.75">
      <c r="A1226" s="5">
        <v>45280</v>
      </c>
      <c r="B1226" s="6" t="s">
        <v>12</v>
      </c>
      <c r="C1226" s="7">
        <v>13.99</v>
      </c>
      <c r="D1226" s="7">
        <v>10.9</v>
      </c>
      <c r="E1226" s="8">
        <v>3100</v>
      </c>
      <c r="F1226" s="6">
        <v>1000</v>
      </c>
      <c r="G1226" s="6">
        <v>6000</v>
      </c>
      <c r="H1226" s="9">
        <f t="shared" si="94"/>
        <v>10100</v>
      </c>
      <c r="I1226" s="9">
        <v>0</v>
      </c>
      <c r="J1226" s="9">
        <v>10100</v>
      </c>
      <c r="K1226" s="10">
        <v>10100</v>
      </c>
    </row>
    <row r="1227" spans="1:11" ht="15.75">
      <c r="A1227" s="5">
        <v>45281</v>
      </c>
      <c r="B1227" s="6" t="s">
        <v>12</v>
      </c>
      <c r="C1227" s="7">
        <v>13.99</v>
      </c>
      <c r="D1227" s="7">
        <v>10.9</v>
      </c>
      <c r="E1227" s="8">
        <v>3400</v>
      </c>
      <c r="F1227" s="6">
        <v>1600</v>
      </c>
      <c r="G1227" s="6">
        <v>6000</v>
      </c>
      <c r="H1227" s="9">
        <f t="shared" si="94"/>
        <v>11000</v>
      </c>
      <c r="I1227" s="9">
        <v>0</v>
      </c>
      <c r="J1227" s="9">
        <v>11000</v>
      </c>
      <c r="K1227" s="10">
        <v>11000</v>
      </c>
    </row>
    <row r="1228" spans="1:11" ht="15.75">
      <c r="A1228" s="5">
        <v>45282</v>
      </c>
      <c r="B1228" s="6" t="s">
        <v>12</v>
      </c>
      <c r="C1228" s="7">
        <v>13.99</v>
      </c>
      <c r="D1228" s="7">
        <v>10.9</v>
      </c>
      <c r="E1228" s="8">
        <v>3400</v>
      </c>
      <c r="F1228" s="6">
        <v>1600</v>
      </c>
      <c r="G1228" s="6">
        <v>6000</v>
      </c>
      <c r="H1228" s="9">
        <f t="shared" si="94"/>
        <v>11000</v>
      </c>
      <c r="I1228" s="9">
        <v>0</v>
      </c>
      <c r="J1228" s="9">
        <v>11000</v>
      </c>
      <c r="K1228" s="10">
        <v>11000</v>
      </c>
    </row>
    <row r="1229" spans="1:11" ht="15.75">
      <c r="A1229" s="5">
        <v>45283</v>
      </c>
      <c r="B1229" s="6" t="s">
        <v>12</v>
      </c>
      <c r="C1229" s="7">
        <v>13.99</v>
      </c>
      <c r="D1229" s="7">
        <v>10.9</v>
      </c>
      <c r="E1229" s="8">
        <v>3400</v>
      </c>
      <c r="F1229" s="6">
        <v>1600</v>
      </c>
      <c r="G1229" s="6">
        <v>6000</v>
      </c>
      <c r="H1229" s="9">
        <f t="shared" si="94"/>
        <v>11000</v>
      </c>
      <c r="I1229" s="9">
        <v>0</v>
      </c>
      <c r="J1229" s="9">
        <v>11000</v>
      </c>
      <c r="K1229" s="10">
        <v>11000</v>
      </c>
    </row>
    <row r="1230" spans="1:11" ht="15.75">
      <c r="A1230" s="5">
        <v>45284</v>
      </c>
      <c r="B1230" s="6" t="s">
        <v>12</v>
      </c>
      <c r="C1230" s="7">
        <v>13.99</v>
      </c>
      <c r="D1230" s="7">
        <v>10.9</v>
      </c>
      <c r="E1230" s="8">
        <v>3400</v>
      </c>
      <c r="F1230" s="6">
        <v>1600</v>
      </c>
      <c r="G1230" s="6">
        <v>6000</v>
      </c>
      <c r="H1230" s="9">
        <f t="shared" si="94"/>
        <v>11000</v>
      </c>
      <c r="I1230" s="9">
        <v>0</v>
      </c>
      <c r="J1230" s="9">
        <v>11000</v>
      </c>
      <c r="K1230" s="10">
        <v>11000</v>
      </c>
    </row>
    <row r="1231" spans="1:11" ht="15.75">
      <c r="A1231" s="5">
        <v>45285</v>
      </c>
      <c r="B1231" s="6" t="s">
        <v>12</v>
      </c>
      <c r="C1231" s="7">
        <v>13.99</v>
      </c>
      <c r="D1231" s="7">
        <v>10.9</v>
      </c>
      <c r="E1231" s="8">
        <v>3400</v>
      </c>
      <c r="F1231" s="6">
        <v>1600</v>
      </c>
      <c r="G1231" s="6">
        <v>6000</v>
      </c>
      <c r="H1231" s="9">
        <f t="shared" si="94"/>
        <v>11000</v>
      </c>
      <c r="I1231" s="9">
        <v>0</v>
      </c>
      <c r="J1231" s="9">
        <v>11000</v>
      </c>
      <c r="K1231" s="10">
        <v>11000</v>
      </c>
    </row>
    <row r="1232" spans="1:11" ht="15.75">
      <c r="A1232" s="5">
        <v>45286</v>
      </c>
      <c r="B1232" s="6" t="s">
        <v>12</v>
      </c>
      <c r="C1232" s="7">
        <v>13.99</v>
      </c>
      <c r="D1232" s="7">
        <v>10.9</v>
      </c>
      <c r="E1232" s="8">
        <v>3800</v>
      </c>
      <c r="F1232" s="6">
        <v>1600</v>
      </c>
      <c r="G1232" s="6">
        <v>6000</v>
      </c>
      <c r="H1232" s="9">
        <f t="shared" si="94"/>
        <v>11400</v>
      </c>
      <c r="I1232" s="9">
        <v>0</v>
      </c>
      <c r="J1232" s="9">
        <v>11400</v>
      </c>
      <c r="K1232" s="10">
        <v>11400</v>
      </c>
    </row>
    <row r="1233" spans="1:11" ht="15.75">
      <c r="A1233" s="5">
        <v>45287</v>
      </c>
      <c r="B1233" s="6" t="s">
        <v>12</v>
      </c>
      <c r="C1233" s="7">
        <v>13.99</v>
      </c>
      <c r="D1233" s="7">
        <v>10.9</v>
      </c>
      <c r="E1233" s="8">
        <v>3800</v>
      </c>
      <c r="F1233" s="6">
        <v>2000</v>
      </c>
      <c r="G1233" s="6">
        <v>6000</v>
      </c>
      <c r="H1233" s="9">
        <f t="shared" si="94"/>
        <v>11800</v>
      </c>
      <c r="I1233" s="9">
        <v>0</v>
      </c>
      <c r="J1233" s="9">
        <v>11800</v>
      </c>
      <c r="K1233" s="9">
        <v>11800</v>
      </c>
    </row>
    <row r="1234" spans="1:11" ht="15.75">
      <c r="A1234" s="5">
        <v>45288</v>
      </c>
      <c r="B1234" s="6" t="s">
        <v>12</v>
      </c>
      <c r="C1234" s="7">
        <v>13.99</v>
      </c>
      <c r="D1234" s="7">
        <v>10.9</v>
      </c>
      <c r="E1234" s="8">
        <v>3800</v>
      </c>
      <c r="F1234" s="6">
        <v>2300</v>
      </c>
      <c r="G1234" s="6">
        <v>6000</v>
      </c>
      <c r="H1234" s="9">
        <f t="shared" si="94"/>
        <v>12100</v>
      </c>
      <c r="I1234" s="9">
        <v>0</v>
      </c>
      <c r="J1234" s="9">
        <v>12100</v>
      </c>
      <c r="K1234" s="9">
        <v>12100</v>
      </c>
    </row>
    <row r="1235" spans="1:11" ht="15.75">
      <c r="A1235" s="5">
        <v>45289</v>
      </c>
      <c r="B1235" s="6" t="s">
        <v>12</v>
      </c>
      <c r="C1235" s="7">
        <v>13.99</v>
      </c>
      <c r="D1235" s="7">
        <v>10.9</v>
      </c>
      <c r="E1235" s="8">
        <v>3800</v>
      </c>
      <c r="F1235" s="6">
        <v>2500</v>
      </c>
      <c r="G1235" s="6">
        <v>6000</v>
      </c>
      <c r="H1235" s="9">
        <f t="shared" si="94"/>
        <v>12300</v>
      </c>
      <c r="I1235" s="9">
        <v>0</v>
      </c>
      <c r="J1235" s="9">
        <v>12300</v>
      </c>
      <c r="K1235" s="9">
        <v>12300</v>
      </c>
    </row>
    <row r="1236" spans="1:11" ht="15.75">
      <c r="A1236" s="5">
        <v>45290</v>
      </c>
      <c r="B1236" s="6" t="s">
        <v>12</v>
      </c>
      <c r="C1236" s="7">
        <v>13.99</v>
      </c>
      <c r="D1236" s="7">
        <v>10.9</v>
      </c>
      <c r="E1236" s="8">
        <v>3800</v>
      </c>
      <c r="F1236" s="6">
        <v>2500</v>
      </c>
      <c r="G1236" s="6">
        <v>6000</v>
      </c>
      <c r="H1236" s="9">
        <f t="shared" si="94"/>
        <v>12300</v>
      </c>
      <c r="I1236" s="9">
        <v>0</v>
      </c>
      <c r="J1236" s="9">
        <v>12300</v>
      </c>
      <c r="K1236" s="9">
        <v>12300</v>
      </c>
    </row>
    <row r="1237" spans="1:11" ht="15.75">
      <c r="A1237" s="5">
        <v>45291</v>
      </c>
      <c r="B1237" s="6" t="s">
        <v>12</v>
      </c>
      <c r="C1237" s="7">
        <v>13.99</v>
      </c>
      <c r="D1237" s="7">
        <v>10.9</v>
      </c>
      <c r="E1237" s="8">
        <v>3800</v>
      </c>
      <c r="F1237" s="6">
        <v>2500</v>
      </c>
      <c r="G1237" s="6">
        <v>6000</v>
      </c>
      <c r="H1237" s="9">
        <f t="shared" si="94"/>
        <v>12300</v>
      </c>
      <c r="I1237" s="9">
        <v>0</v>
      </c>
      <c r="J1237" s="9">
        <v>12300</v>
      </c>
      <c r="K1237" s="9">
        <v>12300</v>
      </c>
    </row>
    <row r="1238" spans="1:11" ht="15.75">
      <c r="A1238" s="2" t="s">
        <v>13</v>
      </c>
      <c r="B1238" s="2"/>
      <c r="C1238" s="2"/>
      <c r="D1238" s="2"/>
      <c r="E1238" s="11">
        <f t="shared" ref="E1238:K1238" si="95">SUM(E1207:E1237)</f>
        <v>68500</v>
      </c>
      <c r="F1238" s="11">
        <f t="shared" si="95"/>
        <v>27800</v>
      </c>
      <c r="G1238" s="11">
        <f t="shared" si="95"/>
        <v>109000</v>
      </c>
      <c r="H1238" s="11">
        <f t="shared" si="95"/>
        <v>205300</v>
      </c>
      <c r="I1238" s="11">
        <f t="shared" si="95"/>
        <v>304443</v>
      </c>
      <c r="J1238" s="11">
        <f t="shared" si="95"/>
        <v>509743</v>
      </c>
      <c r="K1238" s="11">
        <f t="shared" si="95"/>
        <v>513756</v>
      </c>
    </row>
    <row r="1239" spans="1:11" ht="15.75">
      <c r="A1239" s="12"/>
      <c r="B1239" s="2"/>
      <c r="C1239" s="2"/>
      <c r="D1239" s="2"/>
      <c r="E1239" s="13">
        <f t="shared" ref="E1239:K1239" si="96">SUM(E1238/11575)</f>
        <v>5.9179265658747298</v>
      </c>
      <c r="F1239" s="13">
        <f t="shared" si="96"/>
        <v>2.4017278617710582</v>
      </c>
      <c r="G1239" s="13">
        <f t="shared" si="96"/>
        <v>9.416846652267818</v>
      </c>
      <c r="H1239" s="13">
        <f t="shared" si="96"/>
        <v>17.736501079913605</v>
      </c>
      <c r="I1239" s="13">
        <f t="shared" si="96"/>
        <v>26.301771058315335</v>
      </c>
      <c r="J1239" s="13">
        <f t="shared" si="96"/>
        <v>44.03827213822894</v>
      </c>
      <c r="K1239" s="13">
        <f t="shared" si="96"/>
        <v>44.384967602591793</v>
      </c>
    </row>
    <row r="1240" spans="1:11" ht="15.75">
      <c r="A1240" s="1" t="s">
        <v>56</v>
      </c>
      <c r="B1240" s="1"/>
      <c r="C1240" s="1"/>
      <c r="D1240" s="1"/>
      <c r="E1240" s="1"/>
      <c r="F1240" s="1"/>
      <c r="G1240" s="1"/>
      <c r="H1240" s="1"/>
      <c r="I1240" s="1"/>
      <c r="J1240" s="1"/>
      <c r="K1240" s="1"/>
    </row>
    <row r="1241" spans="1:11" ht="47.25">
      <c r="A1241" s="2" t="s">
        <v>1</v>
      </c>
      <c r="B1241" s="2" t="s">
        <v>2</v>
      </c>
      <c r="C1241" s="3" t="s">
        <v>18</v>
      </c>
      <c r="D1241" s="3" t="s">
        <v>4</v>
      </c>
      <c r="E1241" s="3" t="s">
        <v>5</v>
      </c>
      <c r="F1241" s="3" t="s">
        <v>6</v>
      </c>
      <c r="G1241" s="3" t="s">
        <v>7</v>
      </c>
      <c r="H1241" s="3" t="s">
        <v>8</v>
      </c>
      <c r="I1241" s="3" t="s">
        <v>9</v>
      </c>
      <c r="J1241" s="3" t="s">
        <v>19</v>
      </c>
      <c r="K1241" s="4" t="s">
        <v>11</v>
      </c>
    </row>
    <row r="1242" spans="1:11" ht="15.75">
      <c r="A1242" s="5">
        <v>45292</v>
      </c>
      <c r="B1242" s="6" t="s">
        <v>12</v>
      </c>
      <c r="C1242" s="7">
        <v>13.99</v>
      </c>
      <c r="D1242" s="7">
        <v>10.9</v>
      </c>
      <c r="E1242" s="8">
        <v>3800</v>
      </c>
      <c r="F1242" s="8">
        <v>2300</v>
      </c>
      <c r="G1242" s="8">
        <v>6000</v>
      </c>
      <c r="H1242" s="9">
        <f t="shared" ref="H1242:H1272" si="97">E1242+F1242+G1242</f>
        <v>12100</v>
      </c>
      <c r="I1242" s="9">
        <v>0</v>
      </c>
      <c r="J1242" s="9">
        <v>12100</v>
      </c>
      <c r="K1242" s="10">
        <v>12100</v>
      </c>
    </row>
    <row r="1243" spans="1:11" ht="15.75">
      <c r="A1243" s="5">
        <v>45293</v>
      </c>
      <c r="B1243" s="6" t="s">
        <v>12</v>
      </c>
      <c r="C1243" s="7">
        <v>13.98</v>
      </c>
      <c r="D1243" s="7">
        <v>10.85</v>
      </c>
      <c r="E1243" s="8">
        <v>3800</v>
      </c>
      <c r="F1243" s="6">
        <v>2300</v>
      </c>
      <c r="G1243" s="8">
        <v>6000</v>
      </c>
      <c r="H1243" s="9">
        <f t="shared" si="97"/>
        <v>12100</v>
      </c>
      <c r="I1243" s="9">
        <v>0</v>
      </c>
      <c r="J1243" s="9">
        <v>12100</v>
      </c>
      <c r="K1243" s="10">
        <v>11946</v>
      </c>
    </row>
    <row r="1244" spans="1:11" ht="15.75">
      <c r="A1244" s="5">
        <v>45294</v>
      </c>
      <c r="B1244" s="6" t="s">
        <v>12</v>
      </c>
      <c r="C1244" s="7">
        <v>13.9</v>
      </c>
      <c r="D1244" s="7">
        <v>10.6</v>
      </c>
      <c r="E1244" s="8">
        <v>3800</v>
      </c>
      <c r="F1244" s="6">
        <v>2500</v>
      </c>
      <c r="G1244" s="8">
        <v>6000</v>
      </c>
      <c r="H1244" s="9">
        <f t="shared" si="97"/>
        <v>12300</v>
      </c>
      <c r="I1244" s="9">
        <v>0</v>
      </c>
      <c r="J1244" s="9">
        <v>12300</v>
      </c>
      <c r="K1244" s="10">
        <v>11759</v>
      </c>
    </row>
    <row r="1245" spans="1:11" ht="15.75">
      <c r="A1245" s="5">
        <v>45295</v>
      </c>
      <c r="B1245" s="6" t="s">
        <v>12</v>
      </c>
      <c r="C1245" s="7">
        <v>13.81</v>
      </c>
      <c r="D1245" s="7">
        <v>10.3</v>
      </c>
      <c r="E1245" s="8">
        <v>3150</v>
      </c>
      <c r="F1245" s="6">
        <v>2050</v>
      </c>
      <c r="G1245" s="8">
        <v>5500</v>
      </c>
      <c r="H1245" s="9">
        <f t="shared" si="97"/>
        <v>10700</v>
      </c>
      <c r="I1245" s="9">
        <v>0</v>
      </c>
      <c r="J1245" s="9">
        <v>10700</v>
      </c>
      <c r="K1245" s="10">
        <v>10005</v>
      </c>
    </row>
    <row r="1246" spans="1:11" ht="15.75">
      <c r="A1246" s="5">
        <v>45296</v>
      </c>
      <c r="B1246" s="6" t="s">
        <v>12</v>
      </c>
      <c r="C1246" s="7">
        <v>13.76</v>
      </c>
      <c r="D1246" s="7">
        <v>10.15</v>
      </c>
      <c r="E1246" s="8">
        <v>3150</v>
      </c>
      <c r="F1246" s="6">
        <v>2050</v>
      </c>
      <c r="G1246" s="8">
        <v>5500</v>
      </c>
      <c r="H1246" s="9">
        <f t="shared" si="97"/>
        <v>10700</v>
      </c>
      <c r="I1246" s="9">
        <v>0</v>
      </c>
      <c r="J1246" s="9">
        <v>10700</v>
      </c>
      <c r="K1246" s="9">
        <v>10315</v>
      </c>
    </row>
    <row r="1247" spans="1:11" ht="15.75">
      <c r="A1247" s="5">
        <v>45297</v>
      </c>
      <c r="B1247" s="6" t="s">
        <v>12</v>
      </c>
      <c r="C1247" s="7">
        <v>13.72</v>
      </c>
      <c r="D1247" s="7">
        <v>10</v>
      </c>
      <c r="E1247" s="8">
        <v>3150</v>
      </c>
      <c r="F1247" s="6">
        <v>2050</v>
      </c>
      <c r="G1247" s="8">
        <v>5500</v>
      </c>
      <c r="H1247" s="9">
        <f t="shared" si="97"/>
        <v>10700</v>
      </c>
      <c r="I1247" s="9">
        <v>0</v>
      </c>
      <c r="J1247" s="9">
        <v>10700</v>
      </c>
      <c r="K1247" s="10">
        <v>10391</v>
      </c>
    </row>
    <row r="1248" spans="1:11" ht="15.75">
      <c r="A1248" s="5">
        <v>45298</v>
      </c>
      <c r="B1248" s="6" t="s">
        <v>12</v>
      </c>
      <c r="C1248" s="7">
        <v>13.66</v>
      </c>
      <c r="D1248" s="7">
        <v>9.8000000000000007</v>
      </c>
      <c r="E1248" s="8">
        <v>3150</v>
      </c>
      <c r="F1248" s="6">
        <v>2350</v>
      </c>
      <c r="G1248" s="8">
        <v>5500</v>
      </c>
      <c r="H1248" s="9">
        <f t="shared" si="97"/>
        <v>11000</v>
      </c>
      <c r="I1248" s="9">
        <v>0</v>
      </c>
      <c r="J1248" s="9">
        <v>11000</v>
      </c>
      <c r="K1248" s="10">
        <v>10537</v>
      </c>
    </row>
    <row r="1249" spans="1:11" ht="15.75">
      <c r="A1249" s="5">
        <v>45299</v>
      </c>
      <c r="B1249" s="6" t="s">
        <v>12</v>
      </c>
      <c r="C1249" s="7">
        <v>13.64</v>
      </c>
      <c r="D1249" s="7">
        <v>9.75</v>
      </c>
      <c r="E1249" s="8">
        <v>3150</v>
      </c>
      <c r="F1249" s="6">
        <v>2350</v>
      </c>
      <c r="G1249" s="8">
        <v>5500</v>
      </c>
      <c r="H1249" s="9">
        <f t="shared" si="97"/>
        <v>11000</v>
      </c>
      <c r="I1249" s="9">
        <v>0</v>
      </c>
      <c r="J1249" s="9">
        <v>11000</v>
      </c>
      <c r="K1249" s="10">
        <v>10846</v>
      </c>
    </row>
    <row r="1250" spans="1:11" ht="15.75">
      <c r="A1250" s="5">
        <v>45300</v>
      </c>
      <c r="B1250" s="6" t="s">
        <v>12</v>
      </c>
      <c r="C1250" s="7">
        <v>13.63</v>
      </c>
      <c r="D1250" s="7">
        <v>9.6999999999999993</v>
      </c>
      <c r="E1250" s="8">
        <v>3150</v>
      </c>
      <c r="F1250" s="6">
        <v>2350</v>
      </c>
      <c r="G1250" s="8">
        <v>5500</v>
      </c>
      <c r="H1250" s="9">
        <f t="shared" si="97"/>
        <v>11000</v>
      </c>
      <c r="I1250" s="9">
        <v>0</v>
      </c>
      <c r="J1250" s="9">
        <v>11000</v>
      </c>
      <c r="K1250" s="10">
        <v>10922</v>
      </c>
    </row>
    <row r="1251" spans="1:11" ht="15.75">
      <c r="A1251" s="5">
        <v>45301</v>
      </c>
      <c r="B1251" s="6" t="s">
        <v>12</v>
      </c>
      <c r="C1251" s="7">
        <v>13.61</v>
      </c>
      <c r="D1251" s="7">
        <v>9.65</v>
      </c>
      <c r="E1251" s="8">
        <v>3150</v>
      </c>
      <c r="F1251" s="6">
        <v>2350</v>
      </c>
      <c r="G1251" s="8">
        <v>5500</v>
      </c>
      <c r="H1251" s="9">
        <f t="shared" si="97"/>
        <v>11000</v>
      </c>
      <c r="I1251" s="9">
        <v>0</v>
      </c>
      <c r="J1251" s="10">
        <v>11000</v>
      </c>
      <c r="K1251" s="16">
        <v>10846</v>
      </c>
    </row>
    <row r="1252" spans="1:11" ht="15.75">
      <c r="A1252" s="5">
        <v>45302</v>
      </c>
      <c r="B1252" s="6" t="s">
        <v>12</v>
      </c>
      <c r="C1252" s="7">
        <v>13.6</v>
      </c>
      <c r="D1252" s="7">
        <v>9.6</v>
      </c>
      <c r="E1252" s="8">
        <v>3150</v>
      </c>
      <c r="F1252" s="6">
        <v>2350</v>
      </c>
      <c r="G1252" s="8">
        <v>5500</v>
      </c>
      <c r="H1252" s="9">
        <f t="shared" si="97"/>
        <v>11000</v>
      </c>
      <c r="I1252" s="9">
        <v>0</v>
      </c>
      <c r="J1252" s="9">
        <v>11000</v>
      </c>
      <c r="K1252" s="10">
        <v>10922</v>
      </c>
    </row>
    <row r="1253" spans="1:11" ht="15.75">
      <c r="A1253" s="5">
        <v>45303</v>
      </c>
      <c r="B1253" s="6" t="s">
        <v>12</v>
      </c>
      <c r="C1253" s="7">
        <v>13.61</v>
      </c>
      <c r="D1253" s="7">
        <v>9.65</v>
      </c>
      <c r="E1253" s="8">
        <v>2300</v>
      </c>
      <c r="F1253" s="8">
        <v>1500</v>
      </c>
      <c r="G1253" s="6">
        <v>4000</v>
      </c>
      <c r="H1253" s="9">
        <f t="shared" si="97"/>
        <v>7800</v>
      </c>
      <c r="I1253" s="9">
        <v>0</v>
      </c>
      <c r="J1253" s="9">
        <v>7800</v>
      </c>
      <c r="K1253" s="10">
        <v>7878</v>
      </c>
    </row>
    <row r="1254" spans="1:11" ht="15.75">
      <c r="A1254" s="5">
        <v>45304</v>
      </c>
      <c r="B1254" s="6" t="s">
        <v>12</v>
      </c>
      <c r="C1254" s="7">
        <v>13.72</v>
      </c>
      <c r="D1254" s="7">
        <v>10</v>
      </c>
      <c r="E1254" s="8">
        <v>3150</v>
      </c>
      <c r="F1254" s="6">
        <v>1500</v>
      </c>
      <c r="G1254" s="8">
        <v>4000</v>
      </c>
      <c r="H1254" s="9">
        <f t="shared" si="97"/>
        <v>8650</v>
      </c>
      <c r="I1254" s="9">
        <v>0</v>
      </c>
      <c r="J1254" s="9">
        <v>8650</v>
      </c>
      <c r="K1254" s="10">
        <v>9498</v>
      </c>
    </row>
    <row r="1255" spans="1:11" ht="15.75">
      <c r="A1255" s="5">
        <v>45305</v>
      </c>
      <c r="B1255" s="6" t="s">
        <v>12</v>
      </c>
      <c r="C1255" s="7">
        <v>13.76</v>
      </c>
      <c r="D1255" s="7">
        <v>10.15</v>
      </c>
      <c r="E1255" s="8">
        <v>2300</v>
      </c>
      <c r="F1255" s="6">
        <v>1750</v>
      </c>
      <c r="G1255" s="6">
        <v>4000</v>
      </c>
      <c r="H1255" s="9">
        <f t="shared" si="97"/>
        <v>8050</v>
      </c>
      <c r="I1255" s="9">
        <v>0</v>
      </c>
      <c r="J1255" s="9">
        <v>8050</v>
      </c>
      <c r="K1255" s="10">
        <v>8359</v>
      </c>
    </row>
    <row r="1256" spans="1:11" ht="15.75">
      <c r="A1256" s="5">
        <v>45306</v>
      </c>
      <c r="B1256" s="6" t="s">
        <v>12</v>
      </c>
      <c r="C1256" s="7">
        <v>13.78</v>
      </c>
      <c r="D1256" s="7">
        <v>10.199999999999999</v>
      </c>
      <c r="E1256" s="8">
        <v>2300</v>
      </c>
      <c r="F1256" s="6">
        <v>2000</v>
      </c>
      <c r="G1256" s="6">
        <v>4000</v>
      </c>
      <c r="H1256" s="9">
        <f t="shared" si="97"/>
        <v>8300</v>
      </c>
      <c r="I1256" s="9">
        <v>0</v>
      </c>
      <c r="J1256" s="9">
        <v>8300</v>
      </c>
      <c r="K1256" s="10">
        <v>8454</v>
      </c>
    </row>
    <row r="1257" spans="1:11" ht="15.75">
      <c r="A1257" s="5">
        <v>45307</v>
      </c>
      <c r="B1257" s="6" t="s">
        <v>12</v>
      </c>
      <c r="C1257" s="7">
        <v>13.81</v>
      </c>
      <c r="D1257" s="7">
        <v>10.3</v>
      </c>
      <c r="E1257" s="8">
        <v>2300</v>
      </c>
      <c r="F1257" s="6">
        <v>2000</v>
      </c>
      <c r="G1257" s="6">
        <v>4000</v>
      </c>
      <c r="H1257" s="9">
        <f t="shared" si="97"/>
        <v>8300</v>
      </c>
      <c r="I1257" s="9">
        <v>0</v>
      </c>
      <c r="J1257" s="9">
        <v>8300</v>
      </c>
      <c r="K1257" s="10">
        <v>8532</v>
      </c>
    </row>
    <row r="1258" spans="1:11" ht="15.75">
      <c r="A1258" s="5">
        <v>45308</v>
      </c>
      <c r="B1258" s="6" t="s">
        <v>12</v>
      </c>
      <c r="C1258" s="7">
        <v>13.82</v>
      </c>
      <c r="D1258" s="7">
        <v>10.35</v>
      </c>
      <c r="E1258" s="8">
        <v>2875</v>
      </c>
      <c r="F1258" s="6">
        <v>2000</v>
      </c>
      <c r="G1258" s="6">
        <v>5000</v>
      </c>
      <c r="H1258" s="9">
        <f t="shared" si="97"/>
        <v>9875</v>
      </c>
      <c r="I1258" s="9">
        <v>0</v>
      </c>
      <c r="J1258" s="9">
        <v>9875</v>
      </c>
      <c r="K1258" s="10">
        <v>9953</v>
      </c>
    </row>
    <row r="1259" spans="1:11" ht="15.75">
      <c r="A1259" s="5">
        <v>45309</v>
      </c>
      <c r="B1259" s="6" t="s">
        <v>12</v>
      </c>
      <c r="C1259" s="7">
        <v>13.76</v>
      </c>
      <c r="D1259" s="7">
        <v>10.15</v>
      </c>
      <c r="E1259" s="8">
        <v>2875</v>
      </c>
      <c r="F1259" s="6">
        <v>2300</v>
      </c>
      <c r="G1259" s="6">
        <v>5000</v>
      </c>
      <c r="H1259" s="9">
        <f t="shared" si="97"/>
        <v>10175</v>
      </c>
      <c r="I1259" s="9">
        <v>0</v>
      </c>
      <c r="J1259" s="9">
        <v>10175</v>
      </c>
      <c r="K1259" s="10">
        <v>9712</v>
      </c>
    </row>
    <row r="1260" spans="1:11" ht="15.75">
      <c r="A1260" s="5">
        <v>45310</v>
      </c>
      <c r="B1260" s="6" t="s">
        <v>12</v>
      </c>
      <c r="C1260" s="7">
        <v>13.73</v>
      </c>
      <c r="D1260" s="7">
        <v>10.050000000000001</v>
      </c>
      <c r="E1260" s="8">
        <v>3150</v>
      </c>
      <c r="F1260" s="6">
        <v>2300</v>
      </c>
      <c r="G1260" s="6">
        <v>5000</v>
      </c>
      <c r="H1260" s="9">
        <f t="shared" si="97"/>
        <v>10450</v>
      </c>
      <c r="I1260" s="9">
        <v>0</v>
      </c>
      <c r="J1260" s="9">
        <v>10450</v>
      </c>
      <c r="K1260" s="10">
        <v>10223</v>
      </c>
    </row>
    <row r="1261" spans="1:11" ht="15.75">
      <c r="A1261" s="5">
        <v>45311</v>
      </c>
      <c r="B1261" s="6" t="s">
        <v>12</v>
      </c>
      <c r="C1261" s="7">
        <v>13.76</v>
      </c>
      <c r="D1261" s="7">
        <v>10.15</v>
      </c>
      <c r="E1261" s="8">
        <v>3150</v>
      </c>
      <c r="F1261" s="6">
        <v>2300</v>
      </c>
      <c r="G1261" s="6">
        <v>5000</v>
      </c>
      <c r="H1261" s="9">
        <f t="shared" si="97"/>
        <v>10450</v>
      </c>
      <c r="I1261" s="9">
        <v>0</v>
      </c>
      <c r="J1261" s="9">
        <v>10450</v>
      </c>
      <c r="K1261" s="10">
        <v>10677</v>
      </c>
    </row>
    <row r="1262" spans="1:11" ht="15.75">
      <c r="A1262" s="5">
        <v>45312</v>
      </c>
      <c r="B1262" s="6" t="s">
        <v>12</v>
      </c>
      <c r="C1262" s="7">
        <v>13.76</v>
      </c>
      <c r="D1262" s="7">
        <v>10.15</v>
      </c>
      <c r="E1262" s="8">
        <v>3150</v>
      </c>
      <c r="F1262" s="6">
        <v>2300</v>
      </c>
      <c r="G1262" s="6">
        <v>5000</v>
      </c>
      <c r="H1262" s="9">
        <f t="shared" si="97"/>
        <v>10450</v>
      </c>
      <c r="I1262" s="9">
        <v>0</v>
      </c>
      <c r="J1262" s="9">
        <v>10450</v>
      </c>
      <c r="K1262" s="10">
        <v>10450</v>
      </c>
    </row>
    <row r="1263" spans="1:11" ht="15.75">
      <c r="A1263" s="5">
        <v>45313</v>
      </c>
      <c r="B1263" s="6" t="s">
        <v>12</v>
      </c>
      <c r="C1263" s="7">
        <v>13.72</v>
      </c>
      <c r="D1263" s="7">
        <v>10</v>
      </c>
      <c r="E1263" s="8">
        <v>3150</v>
      </c>
      <c r="F1263" s="6">
        <v>2300</v>
      </c>
      <c r="G1263" s="6">
        <v>5500</v>
      </c>
      <c r="H1263" s="9">
        <f t="shared" si="97"/>
        <v>10950</v>
      </c>
      <c r="I1263" s="9">
        <v>0</v>
      </c>
      <c r="J1263" s="9">
        <v>10950</v>
      </c>
      <c r="K1263" s="10">
        <v>10641</v>
      </c>
    </row>
    <row r="1264" spans="1:11" ht="15.75">
      <c r="A1264" s="5">
        <v>45314</v>
      </c>
      <c r="B1264" s="6" t="s">
        <v>12</v>
      </c>
      <c r="C1264" s="7">
        <v>13.69</v>
      </c>
      <c r="D1264" s="7">
        <v>9.9</v>
      </c>
      <c r="E1264" s="8">
        <v>3150</v>
      </c>
      <c r="F1264" s="6">
        <v>2300</v>
      </c>
      <c r="G1264" s="6">
        <v>5500</v>
      </c>
      <c r="H1264" s="9">
        <f t="shared" si="97"/>
        <v>10950</v>
      </c>
      <c r="I1264" s="9">
        <v>0</v>
      </c>
      <c r="J1264" s="9">
        <v>10950</v>
      </c>
      <c r="K1264" s="10">
        <v>10718</v>
      </c>
    </row>
    <row r="1265" spans="1:11" ht="15.75">
      <c r="A1265" s="5">
        <v>45315</v>
      </c>
      <c r="B1265" s="6" t="s">
        <v>12</v>
      </c>
      <c r="C1265" s="7">
        <v>13.6</v>
      </c>
      <c r="D1265" s="7">
        <v>9.6</v>
      </c>
      <c r="E1265" s="8">
        <v>3150</v>
      </c>
      <c r="F1265" s="6">
        <v>2300</v>
      </c>
      <c r="G1265" s="6">
        <v>5500</v>
      </c>
      <c r="H1265" s="9">
        <f t="shared" si="97"/>
        <v>10950</v>
      </c>
      <c r="I1265" s="9">
        <v>0</v>
      </c>
      <c r="J1265" s="9">
        <v>10950</v>
      </c>
      <c r="K1265" s="10">
        <v>10255</v>
      </c>
    </row>
    <row r="1266" spans="1:11" ht="15.75">
      <c r="A1266" s="5">
        <v>45316</v>
      </c>
      <c r="B1266" s="6" t="s">
        <v>12</v>
      </c>
      <c r="C1266" s="7">
        <v>13.57</v>
      </c>
      <c r="D1266" s="7">
        <v>9.5</v>
      </c>
      <c r="E1266" s="8">
        <v>3150</v>
      </c>
      <c r="F1266" s="6">
        <v>2300</v>
      </c>
      <c r="G1266" s="6">
        <v>5500</v>
      </c>
      <c r="H1266" s="9">
        <f t="shared" si="97"/>
        <v>10950</v>
      </c>
      <c r="I1266" s="9">
        <v>0</v>
      </c>
      <c r="J1266" s="9">
        <v>10950</v>
      </c>
      <c r="K1266" s="10">
        <v>10718</v>
      </c>
    </row>
    <row r="1267" spans="1:11" ht="15.75">
      <c r="A1267" s="5">
        <v>45317</v>
      </c>
      <c r="B1267" s="6" t="s">
        <v>12</v>
      </c>
      <c r="C1267" s="7">
        <v>13.53</v>
      </c>
      <c r="D1267" s="7">
        <v>9.4</v>
      </c>
      <c r="E1267" s="8">
        <v>3150</v>
      </c>
      <c r="F1267" s="6">
        <v>2300</v>
      </c>
      <c r="G1267" s="6">
        <v>5500</v>
      </c>
      <c r="H1267" s="9">
        <f t="shared" si="97"/>
        <v>10950</v>
      </c>
      <c r="I1267" s="9">
        <v>0</v>
      </c>
      <c r="J1267" s="9">
        <v>10950</v>
      </c>
      <c r="K1267" s="10">
        <v>10642</v>
      </c>
    </row>
    <row r="1268" spans="1:11" ht="15.75">
      <c r="A1268" s="5">
        <v>45318</v>
      </c>
      <c r="B1268" s="6" t="s">
        <v>12</v>
      </c>
      <c r="C1268" s="7">
        <v>13.49</v>
      </c>
      <c r="D1268" s="7">
        <v>9.25</v>
      </c>
      <c r="E1268" s="8">
        <v>3150</v>
      </c>
      <c r="F1268" s="6">
        <v>2300</v>
      </c>
      <c r="G1268" s="6">
        <v>5500</v>
      </c>
      <c r="H1268" s="9">
        <f t="shared" si="97"/>
        <v>10950</v>
      </c>
      <c r="I1268" s="9">
        <v>0</v>
      </c>
      <c r="J1268" s="9">
        <v>10950</v>
      </c>
      <c r="K1268" s="9">
        <v>10641</v>
      </c>
    </row>
    <row r="1269" spans="1:11" ht="15.75">
      <c r="A1269" s="5">
        <v>45319</v>
      </c>
      <c r="B1269" s="6" t="s">
        <v>12</v>
      </c>
      <c r="C1269" s="7">
        <v>13.44</v>
      </c>
      <c r="D1269" s="7">
        <v>9.1</v>
      </c>
      <c r="E1269" s="8">
        <v>3150</v>
      </c>
      <c r="F1269" s="6">
        <v>2300</v>
      </c>
      <c r="G1269" s="6">
        <v>5500</v>
      </c>
      <c r="H1269" s="9">
        <f t="shared" si="97"/>
        <v>10950</v>
      </c>
      <c r="I1269" s="9">
        <v>0</v>
      </c>
      <c r="J1269" s="9">
        <v>10950</v>
      </c>
      <c r="K1269" s="9">
        <v>10565</v>
      </c>
    </row>
    <row r="1270" spans="1:11" ht="15.75">
      <c r="A1270" s="5">
        <v>45320</v>
      </c>
      <c r="B1270" s="6" t="s">
        <v>12</v>
      </c>
      <c r="C1270" s="7">
        <v>13.38</v>
      </c>
      <c r="D1270" s="7">
        <v>8.9</v>
      </c>
      <c r="E1270" s="8">
        <v>3150</v>
      </c>
      <c r="F1270" s="6">
        <v>2300</v>
      </c>
      <c r="G1270" s="6">
        <v>5500</v>
      </c>
      <c r="H1270" s="9">
        <f t="shared" si="97"/>
        <v>10950</v>
      </c>
      <c r="I1270" s="9">
        <v>0</v>
      </c>
      <c r="J1270" s="9">
        <v>10950</v>
      </c>
      <c r="K1270" s="9">
        <v>10487</v>
      </c>
    </row>
    <row r="1271" spans="1:11" ht="15.75">
      <c r="A1271" s="5">
        <v>45321</v>
      </c>
      <c r="B1271" s="6" t="s">
        <v>12</v>
      </c>
      <c r="C1271" s="7">
        <v>13.32</v>
      </c>
      <c r="D1271" s="7">
        <v>8.6999999999999993</v>
      </c>
      <c r="E1271" s="8">
        <v>3150</v>
      </c>
      <c r="F1271" s="6">
        <v>2300</v>
      </c>
      <c r="G1271" s="6">
        <v>5500</v>
      </c>
      <c r="H1271" s="9">
        <f t="shared" si="97"/>
        <v>10950</v>
      </c>
      <c r="I1271" s="9">
        <v>0</v>
      </c>
      <c r="J1271" s="9">
        <v>10950</v>
      </c>
      <c r="K1271" s="9">
        <v>10489</v>
      </c>
    </row>
    <row r="1272" spans="1:11" ht="15.75">
      <c r="A1272" s="5">
        <v>45322</v>
      </c>
      <c r="B1272" s="6" t="s">
        <v>12</v>
      </c>
      <c r="C1272" s="7">
        <v>13.23</v>
      </c>
      <c r="D1272" s="7">
        <v>8.4</v>
      </c>
      <c r="E1272" s="8">
        <v>3150</v>
      </c>
      <c r="F1272" s="6">
        <v>2300</v>
      </c>
      <c r="G1272" s="6">
        <v>5500</v>
      </c>
      <c r="H1272" s="9">
        <f t="shared" si="97"/>
        <v>10950</v>
      </c>
      <c r="I1272" s="9">
        <v>0</v>
      </c>
      <c r="J1272" s="9">
        <v>10850</v>
      </c>
      <c r="K1272" s="9">
        <v>10267</v>
      </c>
    </row>
    <row r="1273" spans="1:11" ht="15.75">
      <c r="A1273" s="2" t="s">
        <v>13</v>
      </c>
      <c r="B1273" s="2"/>
      <c r="C1273" s="2"/>
      <c r="D1273" s="2"/>
      <c r="E1273" s="11">
        <f t="shared" ref="E1273:K1273" si="98">SUM(E1242:E1272)</f>
        <v>95650</v>
      </c>
      <c r="F1273" s="11">
        <f t="shared" si="98"/>
        <v>67950</v>
      </c>
      <c r="G1273" s="11">
        <f t="shared" si="98"/>
        <v>162000</v>
      </c>
      <c r="H1273" s="11">
        <f t="shared" si="98"/>
        <v>325600</v>
      </c>
      <c r="I1273" s="11">
        <f t="shared" si="98"/>
        <v>0</v>
      </c>
      <c r="J1273" s="11">
        <f t="shared" si="98"/>
        <v>325500</v>
      </c>
      <c r="K1273" s="11">
        <f t="shared" si="98"/>
        <v>319748</v>
      </c>
    </row>
    <row r="1274" spans="1:11" ht="15.75">
      <c r="A1274" s="12"/>
      <c r="B1274" s="2"/>
      <c r="C1274" s="2"/>
      <c r="D1274" s="2"/>
      <c r="E1274" s="13">
        <f t="shared" ref="E1274:K1274" si="99">SUM(E1273/11575)</f>
        <v>8.2634989200863931</v>
      </c>
      <c r="F1274" s="13">
        <f t="shared" si="99"/>
        <v>5.870410367170626</v>
      </c>
      <c r="G1274" s="13">
        <f t="shared" si="99"/>
        <v>13.995680345572355</v>
      </c>
      <c r="H1274" s="13">
        <f t="shared" si="99"/>
        <v>28.129589632829372</v>
      </c>
      <c r="I1274" s="13">
        <f t="shared" si="99"/>
        <v>0</v>
      </c>
      <c r="J1274" s="13">
        <f t="shared" si="99"/>
        <v>28.120950323974082</v>
      </c>
      <c r="K1274" s="13">
        <f t="shared" si="99"/>
        <v>27.624017278617711</v>
      </c>
    </row>
    <row r="1275" spans="1:11" ht="15.75">
      <c r="A1275" s="1" t="s">
        <v>57</v>
      </c>
      <c r="B1275" s="1"/>
      <c r="C1275" s="1"/>
      <c r="D1275" s="1"/>
      <c r="E1275" s="1"/>
      <c r="F1275" s="1"/>
      <c r="G1275" s="1"/>
      <c r="H1275" s="1"/>
      <c r="I1275" s="1"/>
      <c r="J1275" s="1"/>
      <c r="K1275" s="1"/>
    </row>
    <row r="1276" spans="1:11" ht="47.25">
      <c r="A1276" s="2" t="s">
        <v>1</v>
      </c>
      <c r="B1276" s="2" t="s">
        <v>2</v>
      </c>
      <c r="C1276" s="3" t="s">
        <v>18</v>
      </c>
      <c r="D1276" s="3" t="s">
        <v>4</v>
      </c>
      <c r="E1276" s="3" t="s">
        <v>5</v>
      </c>
      <c r="F1276" s="3" t="s">
        <v>6</v>
      </c>
      <c r="G1276" s="3" t="s">
        <v>7</v>
      </c>
      <c r="H1276" s="3" t="s">
        <v>8</v>
      </c>
      <c r="I1276" s="3" t="s">
        <v>9</v>
      </c>
      <c r="J1276" s="3" t="s">
        <v>19</v>
      </c>
      <c r="K1276" s="4" t="s">
        <v>11</v>
      </c>
    </row>
    <row r="1277" spans="1:11" ht="15.75">
      <c r="A1277" s="5">
        <v>45323</v>
      </c>
      <c r="B1277" s="6" t="s">
        <v>12</v>
      </c>
      <c r="C1277" s="7">
        <v>13.18</v>
      </c>
      <c r="D1277" s="7">
        <v>8.25</v>
      </c>
      <c r="E1277" s="8">
        <v>2600</v>
      </c>
      <c r="F1277" s="6">
        <v>2000</v>
      </c>
      <c r="G1277" s="8">
        <v>4500</v>
      </c>
      <c r="H1277" s="14">
        <f>E1277+F1277+G1277</f>
        <v>9100</v>
      </c>
      <c r="I1277" s="9">
        <v>0</v>
      </c>
      <c r="J1277" s="9">
        <v>9100</v>
      </c>
      <c r="K1277" s="10">
        <v>8720</v>
      </c>
    </row>
    <row r="1278" spans="1:11" ht="15.75">
      <c r="A1278" s="5">
        <v>45324</v>
      </c>
      <c r="B1278" s="6" t="s">
        <v>12</v>
      </c>
      <c r="C1278" s="7">
        <v>13.23</v>
      </c>
      <c r="D1278" s="7">
        <v>8.4</v>
      </c>
      <c r="E1278" s="8">
        <v>2600</v>
      </c>
      <c r="F1278" s="6">
        <v>2000</v>
      </c>
      <c r="G1278" s="8">
        <v>4500</v>
      </c>
      <c r="H1278" s="9">
        <f t="shared" ref="H1278:H1305" si="100">E1278+F1278+G1278</f>
        <v>9100</v>
      </c>
      <c r="I1278" s="9">
        <v>0</v>
      </c>
      <c r="J1278" s="9">
        <v>9100</v>
      </c>
      <c r="K1278" s="10">
        <v>9480</v>
      </c>
    </row>
    <row r="1279" spans="1:11" ht="15.75">
      <c r="A1279" s="5">
        <v>45325</v>
      </c>
      <c r="B1279" s="6" t="s">
        <v>12</v>
      </c>
      <c r="C1279" s="7">
        <v>13.28</v>
      </c>
      <c r="D1279" s="7">
        <v>8.5500000000000007</v>
      </c>
      <c r="E1279" s="8">
        <v>2600</v>
      </c>
      <c r="F1279" s="6">
        <v>2000</v>
      </c>
      <c r="G1279" s="8">
        <v>4500</v>
      </c>
      <c r="H1279" s="9">
        <f t="shared" si="100"/>
        <v>9100</v>
      </c>
      <c r="I1279" s="9">
        <v>0</v>
      </c>
      <c r="J1279" s="9">
        <v>9100</v>
      </c>
      <c r="K1279" s="10">
        <v>9480</v>
      </c>
    </row>
    <row r="1280" spans="1:11" ht="15.75">
      <c r="A1280" s="5">
        <v>45326</v>
      </c>
      <c r="B1280" s="6" t="s">
        <v>12</v>
      </c>
      <c r="C1280" s="7">
        <v>13.29</v>
      </c>
      <c r="D1280" s="7">
        <v>8.6</v>
      </c>
      <c r="E1280" s="8">
        <v>2600</v>
      </c>
      <c r="F1280" s="6">
        <v>2000</v>
      </c>
      <c r="G1280" s="8">
        <v>4500</v>
      </c>
      <c r="H1280" s="9">
        <f t="shared" si="100"/>
        <v>9100</v>
      </c>
      <c r="I1280" s="9">
        <v>0</v>
      </c>
      <c r="J1280" s="9">
        <v>9100</v>
      </c>
      <c r="K1280" s="10">
        <v>9175</v>
      </c>
    </row>
    <row r="1281" spans="1:11" ht="15.75">
      <c r="A1281" s="5">
        <v>45327</v>
      </c>
      <c r="B1281" s="6" t="s">
        <v>12</v>
      </c>
      <c r="C1281" s="7">
        <v>13.29</v>
      </c>
      <c r="D1281" s="7">
        <v>8.6</v>
      </c>
      <c r="E1281" s="8">
        <v>2300</v>
      </c>
      <c r="F1281" s="6">
        <v>1500</v>
      </c>
      <c r="G1281" s="8">
        <v>4000</v>
      </c>
      <c r="H1281" s="9">
        <f t="shared" si="100"/>
        <v>7800</v>
      </c>
      <c r="I1281" s="9">
        <v>0</v>
      </c>
      <c r="J1281" s="9">
        <v>7800</v>
      </c>
      <c r="K1281" s="9">
        <v>7800</v>
      </c>
    </row>
    <row r="1282" spans="1:11" ht="15.75">
      <c r="A1282" s="5">
        <v>45328</v>
      </c>
      <c r="B1282" s="6" t="s">
        <v>12</v>
      </c>
      <c r="C1282" s="7">
        <v>13.37</v>
      </c>
      <c r="D1282" s="7">
        <v>8.85</v>
      </c>
      <c r="E1282" s="8">
        <v>2300</v>
      </c>
      <c r="F1282" s="6">
        <v>1500</v>
      </c>
      <c r="G1282" s="8">
        <v>4000</v>
      </c>
      <c r="H1282" s="9">
        <f t="shared" si="100"/>
        <v>7800</v>
      </c>
      <c r="I1282" s="9">
        <v>0</v>
      </c>
      <c r="J1282" s="9">
        <v>7800</v>
      </c>
      <c r="K1282" s="10">
        <v>8411</v>
      </c>
    </row>
    <row r="1283" spans="1:11" ht="15.75">
      <c r="A1283" s="5">
        <v>45329</v>
      </c>
      <c r="B1283" s="6" t="s">
        <v>12</v>
      </c>
      <c r="C1283" s="7">
        <v>13.44</v>
      </c>
      <c r="D1283" s="7">
        <v>9.1</v>
      </c>
      <c r="E1283" s="8">
        <v>2300</v>
      </c>
      <c r="F1283" s="6">
        <v>1500</v>
      </c>
      <c r="G1283" s="8">
        <v>4000</v>
      </c>
      <c r="H1283" s="9">
        <f t="shared" si="100"/>
        <v>7800</v>
      </c>
      <c r="I1283" s="9">
        <v>0</v>
      </c>
      <c r="J1283" s="9">
        <v>7800</v>
      </c>
      <c r="K1283" s="10">
        <v>8341</v>
      </c>
    </row>
    <row r="1284" spans="1:11" ht="15.75">
      <c r="A1284" s="5">
        <v>45330</v>
      </c>
      <c r="B1284" s="6" t="s">
        <v>12</v>
      </c>
      <c r="C1284" s="7">
        <v>13.52</v>
      </c>
      <c r="D1284" s="7">
        <v>9.35</v>
      </c>
      <c r="E1284" s="8">
        <v>2300</v>
      </c>
      <c r="F1284" s="6">
        <v>1500</v>
      </c>
      <c r="G1284" s="8">
        <v>4000</v>
      </c>
      <c r="H1284" s="9">
        <f t="shared" si="100"/>
        <v>7800</v>
      </c>
      <c r="I1284" s="9">
        <v>0</v>
      </c>
      <c r="J1284" s="9">
        <v>7800</v>
      </c>
      <c r="K1284" s="10">
        <v>8417</v>
      </c>
    </row>
    <row r="1285" spans="1:11" ht="15.75">
      <c r="A1285" s="5">
        <v>45331</v>
      </c>
      <c r="B1285" s="6" t="s">
        <v>12</v>
      </c>
      <c r="C1285" s="7">
        <v>13.58</v>
      </c>
      <c r="D1285" s="7">
        <v>9.5500000000000007</v>
      </c>
      <c r="E1285" s="8">
        <v>2300</v>
      </c>
      <c r="F1285" s="6">
        <v>1500</v>
      </c>
      <c r="G1285" s="8">
        <v>4000</v>
      </c>
      <c r="H1285" s="9">
        <f t="shared" si="100"/>
        <v>7800</v>
      </c>
      <c r="I1285" s="9">
        <v>0</v>
      </c>
      <c r="J1285" s="9">
        <v>7800</v>
      </c>
      <c r="K1285" s="10">
        <v>8263</v>
      </c>
    </row>
    <row r="1286" spans="1:11" ht="15.75">
      <c r="A1286" s="5">
        <v>45332</v>
      </c>
      <c r="B1286" s="6" t="s">
        <v>12</v>
      </c>
      <c r="C1286" s="7">
        <v>13.61</v>
      </c>
      <c r="D1286" s="7">
        <v>9.65</v>
      </c>
      <c r="E1286" s="8">
        <v>2300</v>
      </c>
      <c r="F1286" s="6">
        <v>1700</v>
      </c>
      <c r="G1286" s="8">
        <v>4000</v>
      </c>
      <c r="H1286" s="9">
        <f t="shared" si="100"/>
        <v>8000</v>
      </c>
      <c r="I1286" s="9">
        <v>0</v>
      </c>
      <c r="J1286" s="10">
        <v>8000</v>
      </c>
      <c r="K1286" s="16">
        <v>8232</v>
      </c>
    </row>
    <row r="1287" spans="1:11" ht="15.75">
      <c r="A1287" s="5">
        <v>45333</v>
      </c>
      <c r="B1287" s="6" t="s">
        <v>12</v>
      </c>
      <c r="C1287" s="7">
        <v>13.63</v>
      </c>
      <c r="D1287" s="7">
        <v>9.6999999999999993</v>
      </c>
      <c r="E1287" s="8">
        <v>2300</v>
      </c>
      <c r="F1287" s="6">
        <v>1700</v>
      </c>
      <c r="G1287" s="8">
        <v>4000</v>
      </c>
      <c r="H1287" s="9">
        <f t="shared" si="100"/>
        <v>8000</v>
      </c>
      <c r="I1287" s="9">
        <v>0</v>
      </c>
      <c r="J1287" s="9">
        <v>8000</v>
      </c>
      <c r="K1287" s="10">
        <v>8154</v>
      </c>
    </row>
    <row r="1288" spans="1:11" ht="15.75">
      <c r="A1288" s="5">
        <v>45334</v>
      </c>
      <c r="B1288" s="6" t="s">
        <v>12</v>
      </c>
      <c r="C1288" s="7">
        <v>13.69</v>
      </c>
      <c r="D1288" s="7">
        <v>9.9</v>
      </c>
      <c r="E1288" s="8">
        <v>2300</v>
      </c>
      <c r="F1288" s="6">
        <v>1700</v>
      </c>
      <c r="G1288" s="8">
        <v>4000</v>
      </c>
      <c r="H1288" s="9">
        <f t="shared" si="100"/>
        <v>8000</v>
      </c>
      <c r="I1288" s="9">
        <v>0</v>
      </c>
      <c r="J1288" s="9">
        <v>8000</v>
      </c>
      <c r="K1288" s="10">
        <v>8463</v>
      </c>
    </row>
    <row r="1289" spans="1:11" ht="15.75">
      <c r="A1289" s="5">
        <v>45335</v>
      </c>
      <c r="B1289" s="6" t="s">
        <v>12</v>
      </c>
      <c r="C1289" s="7">
        <v>13.7</v>
      </c>
      <c r="D1289" s="7">
        <v>9.9499999999999993</v>
      </c>
      <c r="E1289" s="8">
        <v>2300</v>
      </c>
      <c r="F1289" s="6">
        <v>1700</v>
      </c>
      <c r="G1289" s="8">
        <v>4000</v>
      </c>
      <c r="H1289" s="9">
        <f t="shared" si="100"/>
        <v>8000</v>
      </c>
      <c r="I1289" s="9">
        <v>0</v>
      </c>
      <c r="J1289" s="9">
        <v>8000</v>
      </c>
      <c r="K1289" s="10">
        <v>8078</v>
      </c>
    </row>
    <row r="1290" spans="1:11" ht="15.75">
      <c r="A1290" s="5">
        <v>45336</v>
      </c>
      <c r="B1290" s="6" t="s">
        <v>12</v>
      </c>
      <c r="C1290" s="7">
        <v>13.72</v>
      </c>
      <c r="D1290" s="7">
        <v>10</v>
      </c>
      <c r="E1290" s="8">
        <v>2300</v>
      </c>
      <c r="F1290" s="6">
        <v>1700</v>
      </c>
      <c r="G1290" s="8">
        <v>4000</v>
      </c>
      <c r="H1290" s="9">
        <f t="shared" si="100"/>
        <v>8000</v>
      </c>
      <c r="I1290" s="9">
        <v>0</v>
      </c>
      <c r="J1290" s="9">
        <v>8000</v>
      </c>
      <c r="K1290" s="10">
        <v>8154</v>
      </c>
    </row>
    <row r="1291" spans="1:11" ht="15.75">
      <c r="A1291" s="5">
        <v>45337</v>
      </c>
      <c r="B1291" s="6" t="s">
        <v>12</v>
      </c>
      <c r="C1291" s="7">
        <v>13.73</v>
      </c>
      <c r="D1291" s="7">
        <v>10.050000000000001</v>
      </c>
      <c r="E1291" s="8">
        <v>2400</v>
      </c>
      <c r="F1291" s="6">
        <v>1700</v>
      </c>
      <c r="G1291" s="6">
        <v>4200</v>
      </c>
      <c r="H1291" s="9">
        <f t="shared" si="100"/>
        <v>8300</v>
      </c>
      <c r="I1291" s="9">
        <v>0</v>
      </c>
      <c r="J1291" s="9">
        <v>8300</v>
      </c>
      <c r="K1291" s="10">
        <v>8382</v>
      </c>
    </row>
    <row r="1292" spans="1:11" ht="15.75">
      <c r="A1292" s="5">
        <v>45338</v>
      </c>
      <c r="B1292" s="6" t="s">
        <v>12</v>
      </c>
      <c r="C1292" s="7">
        <v>13.73</v>
      </c>
      <c r="D1292" s="7">
        <v>10.050000000000001</v>
      </c>
      <c r="E1292" s="8">
        <v>2400</v>
      </c>
      <c r="F1292" s="6">
        <v>1700</v>
      </c>
      <c r="G1292" s="6">
        <v>4200</v>
      </c>
      <c r="H1292" s="9">
        <f t="shared" si="100"/>
        <v>8300</v>
      </c>
      <c r="I1292" s="9">
        <v>0</v>
      </c>
      <c r="J1292" s="9">
        <v>8300</v>
      </c>
      <c r="K1292" s="10">
        <v>8300</v>
      </c>
    </row>
    <row r="1293" spans="1:11" ht="15.75">
      <c r="A1293" s="5">
        <v>45339</v>
      </c>
      <c r="B1293" s="6" t="s">
        <v>12</v>
      </c>
      <c r="C1293" s="7">
        <v>13.73</v>
      </c>
      <c r="D1293" s="7">
        <v>10.050000000000001</v>
      </c>
      <c r="E1293" s="8">
        <v>2400</v>
      </c>
      <c r="F1293" s="6">
        <v>1700</v>
      </c>
      <c r="G1293" s="6">
        <v>4200</v>
      </c>
      <c r="H1293" s="9">
        <f t="shared" si="100"/>
        <v>8300</v>
      </c>
      <c r="I1293" s="9">
        <v>0</v>
      </c>
      <c r="J1293" s="9">
        <v>8300</v>
      </c>
      <c r="K1293" s="10">
        <v>8300</v>
      </c>
    </row>
    <row r="1294" spans="1:11" ht="15.75">
      <c r="A1294" s="5">
        <v>45340</v>
      </c>
      <c r="B1294" s="6" t="s">
        <v>12</v>
      </c>
      <c r="C1294" s="7">
        <v>13.72</v>
      </c>
      <c r="D1294" s="7">
        <v>10</v>
      </c>
      <c r="E1294" s="8">
        <v>2400</v>
      </c>
      <c r="F1294" s="6">
        <v>1700</v>
      </c>
      <c r="G1294" s="6">
        <v>4200</v>
      </c>
      <c r="H1294" s="9">
        <f t="shared" si="100"/>
        <v>8300</v>
      </c>
      <c r="I1294" s="9">
        <v>0</v>
      </c>
      <c r="J1294" s="9">
        <v>8300</v>
      </c>
      <c r="K1294" s="10">
        <v>8218</v>
      </c>
    </row>
    <row r="1295" spans="1:11" ht="15.75">
      <c r="A1295" s="5">
        <v>45341</v>
      </c>
      <c r="B1295" s="6" t="s">
        <v>12</v>
      </c>
      <c r="C1295" s="7">
        <v>13.72</v>
      </c>
      <c r="D1295" s="7">
        <v>10</v>
      </c>
      <c r="E1295" s="8">
        <v>2550</v>
      </c>
      <c r="F1295" s="6">
        <v>1650</v>
      </c>
      <c r="G1295" s="6">
        <v>4400</v>
      </c>
      <c r="H1295" s="9">
        <f t="shared" si="100"/>
        <v>8600</v>
      </c>
      <c r="I1295" s="9">
        <v>0</v>
      </c>
      <c r="J1295" s="9">
        <v>8600</v>
      </c>
      <c r="K1295" s="9">
        <v>8600</v>
      </c>
    </row>
    <row r="1296" spans="1:11" ht="15.75">
      <c r="A1296" s="5">
        <v>45342</v>
      </c>
      <c r="B1296" s="6" t="s">
        <v>12</v>
      </c>
      <c r="C1296" s="7">
        <v>13.72</v>
      </c>
      <c r="D1296" s="7">
        <v>10</v>
      </c>
      <c r="E1296" s="8">
        <v>2550</v>
      </c>
      <c r="F1296" s="6">
        <v>1650</v>
      </c>
      <c r="G1296" s="6">
        <v>4400</v>
      </c>
      <c r="H1296" s="9">
        <f t="shared" si="100"/>
        <v>8600</v>
      </c>
      <c r="I1296" s="9">
        <v>0</v>
      </c>
      <c r="J1296" s="9">
        <v>8600</v>
      </c>
      <c r="K1296" s="9">
        <v>8600</v>
      </c>
    </row>
    <row r="1297" spans="1:11" ht="15.75">
      <c r="A1297" s="5">
        <v>45343</v>
      </c>
      <c r="B1297" s="6" t="s">
        <v>12</v>
      </c>
      <c r="C1297" s="7">
        <v>13.7</v>
      </c>
      <c r="D1297" s="7">
        <v>9.9499999999999993</v>
      </c>
      <c r="E1297" s="8">
        <v>2650</v>
      </c>
      <c r="F1297" s="6">
        <v>1720</v>
      </c>
      <c r="G1297" s="6">
        <v>4600</v>
      </c>
      <c r="H1297" s="9">
        <f t="shared" si="100"/>
        <v>8970</v>
      </c>
      <c r="I1297" s="9">
        <v>0</v>
      </c>
      <c r="J1297" s="9">
        <v>8970</v>
      </c>
      <c r="K1297" s="10">
        <v>8816</v>
      </c>
    </row>
    <row r="1298" spans="1:11" ht="15.75">
      <c r="A1298" s="5">
        <v>45344</v>
      </c>
      <c r="B1298" s="6" t="s">
        <v>12</v>
      </c>
      <c r="C1298" s="7">
        <v>13.7</v>
      </c>
      <c r="D1298" s="7">
        <v>9.9499999999999993</v>
      </c>
      <c r="E1298" s="8">
        <v>2650</v>
      </c>
      <c r="F1298" s="6">
        <v>1720</v>
      </c>
      <c r="G1298" s="6">
        <v>4600</v>
      </c>
      <c r="H1298" s="9">
        <f t="shared" si="100"/>
        <v>8970</v>
      </c>
      <c r="I1298" s="9">
        <v>0</v>
      </c>
      <c r="J1298" s="9">
        <v>8970</v>
      </c>
      <c r="K1298" s="9">
        <v>8970</v>
      </c>
    </row>
    <row r="1299" spans="1:11" ht="15.75">
      <c r="A1299" s="5">
        <v>45345</v>
      </c>
      <c r="B1299" s="6" t="s">
        <v>12</v>
      </c>
      <c r="C1299" s="7">
        <v>13.7</v>
      </c>
      <c r="D1299" s="7">
        <v>9.9499999999999993</v>
      </c>
      <c r="E1299" s="8">
        <v>2650</v>
      </c>
      <c r="F1299" s="6">
        <v>1720</v>
      </c>
      <c r="G1299" s="6">
        <v>4600</v>
      </c>
      <c r="H1299" s="9">
        <f t="shared" si="100"/>
        <v>8970</v>
      </c>
      <c r="I1299" s="9">
        <v>0</v>
      </c>
      <c r="J1299" s="9">
        <v>8970</v>
      </c>
      <c r="K1299" s="9">
        <v>8970</v>
      </c>
    </row>
    <row r="1300" spans="1:11" ht="15.75">
      <c r="A1300" s="5">
        <v>45346</v>
      </c>
      <c r="B1300" s="6" t="s">
        <v>12</v>
      </c>
      <c r="C1300" s="7">
        <v>13.69</v>
      </c>
      <c r="D1300" s="7">
        <v>9.9</v>
      </c>
      <c r="E1300" s="8">
        <v>2650</v>
      </c>
      <c r="F1300" s="6">
        <v>1720</v>
      </c>
      <c r="G1300" s="6">
        <v>4600</v>
      </c>
      <c r="H1300" s="9">
        <f t="shared" si="100"/>
        <v>8970</v>
      </c>
      <c r="I1300" s="9">
        <v>0</v>
      </c>
      <c r="J1300" s="9">
        <v>8970</v>
      </c>
      <c r="K1300" s="10">
        <v>8892</v>
      </c>
    </row>
    <row r="1301" spans="1:11" ht="15.75">
      <c r="A1301" s="5">
        <v>45347</v>
      </c>
      <c r="B1301" s="6" t="s">
        <v>12</v>
      </c>
      <c r="C1301" s="7">
        <v>13.67</v>
      </c>
      <c r="D1301" s="7">
        <v>9.85</v>
      </c>
      <c r="E1301" s="8">
        <v>2650</v>
      </c>
      <c r="F1301" s="6">
        <v>1720</v>
      </c>
      <c r="G1301" s="6">
        <v>4600</v>
      </c>
      <c r="H1301" s="9">
        <f t="shared" si="100"/>
        <v>8970</v>
      </c>
      <c r="I1301" s="9">
        <v>0</v>
      </c>
      <c r="J1301" s="9">
        <v>8970</v>
      </c>
      <c r="K1301" s="10">
        <v>8816</v>
      </c>
    </row>
    <row r="1302" spans="1:11" ht="15.75">
      <c r="A1302" s="5">
        <v>45348</v>
      </c>
      <c r="B1302" s="6" t="s">
        <v>12</v>
      </c>
      <c r="C1302" s="7">
        <v>13.69</v>
      </c>
      <c r="D1302" s="7">
        <v>9.9</v>
      </c>
      <c r="E1302" s="8">
        <v>2650</v>
      </c>
      <c r="F1302" s="6">
        <v>1720</v>
      </c>
      <c r="G1302" s="6">
        <v>4600</v>
      </c>
      <c r="H1302" s="9">
        <f t="shared" si="100"/>
        <v>8970</v>
      </c>
      <c r="I1302" s="9">
        <v>0</v>
      </c>
      <c r="J1302" s="9">
        <v>8970</v>
      </c>
      <c r="K1302" s="10">
        <v>9124</v>
      </c>
    </row>
    <row r="1303" spans="1:11" ht="15.75">
      <c r="A1303" s="5">
        <v>45349</v>
      </c>
      <c r="B1303" s="6" t="s">
        <v>12</v>
      </c>
      <c r="C1303" s="7">
        <v>13.69</v>
      </c>
      <c r="D1303" s="7">
        <v>9.9</v>
      </c>
      <c r="E1303" s="8">
        <v>2650</v>
      </c>
      <c r="F1303" s="6">
        <v>1720</v>
      </c>
      <c r="G1303" s="6">
        <v>4600</v>
      </c>
      <c r="H1303" s="9">
        <f t="shared" si="100"/>
        <v>8970</v>
      </c>
      <c r="I1303" s="9">
        <v>0</v>
      </c>
      <c r="J1303" s="9">
        <v>8970</v>
      </c>
      <c r="K1303" s="9">
        <v>8970</v>
      </c>
    </row>
    <row r="1304" spans="1:11" ht="15.75">
      <c r="A1304" s="5">
        <v>45350</v>
      </c>
      <c r="B1304" s="6" t="s">
        <v>12</v>
      </c>
      <c r="C1304" s="7">
        <v>13.75</v>
      </c>
      <c r="D1304" s="7">
        <v>10.1</v>
      </c>
      <c r="E1304" s="8">
        <v>2650</v>
      </c>
      <c r="F1304" s="6">
        <v>1720</v>
      </c>
      <c r="G1304" s="6">
        <v>4600</v>
      </c>
      <c r="H1304" s="9">
        <f t="shared" si="100"/>
        <v>8970</v>
      </c>
      <c r="I1304" s="9">
        <v>0</v>
      </c>
      <c r="J1304" s="9">
        <v>8970</v>
      </c>
      <c r="K1304" s="9">
        <v>9433</v>
      </c>
    </row>
    <row r="1305" spans="1:11" ht="15.75">
      <c r="A1305" s="5">
        <v>45351</v>
      </c>
      <c r="B1305" s="6" t="s">
        <v>12</v>
      </c>
      <c r="C1305" s="7">
        <v>13.82</v>
      </c>
      <c r="D1305" s="7">
        <v>10.35</v>
      </c>
      <c r="E1305" s="8">
        <v>2650</v>
      </c>
      <c r="F1305" s="6">
        <v>1720</v>
      </c>
      <c r="G1305" s="6">
        <v>4600</v>
      </c>
      <c r="H1305" s="9">
        <f t="shared" si="100"/>
        <v>8970</v>
      </c>
      <c r="I1305" s="9">
        <v>0</v>
      </c>
      <c r="J1305" s="9">
        <v>8970</v>
      </c>
      <c r="K1305" s="9">
        <v>9511</v>
      </c>
    </row>
    <row r="1306" spans="1:11" ht="15.75">
      <c r="A1306" s="2" t="s">
        <v>13</v>
      </c>
      <c r="B1306" s="2"/>
      <c r="C1306" s="2"/>
      <c r="D1306" s="2"/>
      <c r="E1306" s="11">
        <f t="shared" ref="E1306:K1306" si="101">SUM(E1277:E1305)</f>
        <v>71950</v>
      </c>
      <c r="F1306" s="11">
        <f t="shared" si="101"/>
        <v>49580</v>
      </c>
      <c r="G1306" s="11">
        <f t="shared" si="101"/>
        <v>125000</v>
      </c>
      <c r="H1306" s="11">
        <f t="shared" si="101"/>
        <v>246530</v>
      </c>
      <c r="I1306" s="11">
        <f t="shared" si="101"/>
        <v>0</v>
      </c>
      <c r="J1306" s="11">
        <f t="shared" si="101"/>
        <v>246530</v>
      </c>
      <c r="K1306" s="11">
        <f t="shared" si="101"/>
        <v>251070</v>
      </c>
    </row>
    <row r="1307" spans="1:11" ht="15.75">
      <c r="A1307" s="12"/>
      <c r="B1307" s="2"/>
      <c r="C1307" s="2"/>
      <c r="D1307" s="2"/>
      <c r="E1307" s="13">
        <f t="shared" ref="E1307:K1307" si="102">SUM(E1306/11575)</f>
        <v>6.2159827213822894</v>
      </c>
      <c r="F1307" s="13">
        <f t="shared" si="102"/>
        <v>4.2833693304535636</v>
      </c>
      <c r="G1307" s="13">
        <f t="shared" si="102"/>
        <v>10.799136069114471</v>
      </c>
      <c r="H1307" s="13">
        <f t="shared" si="102"/>
        <v>21.298488120950324</v>
      </c>
      <c r="I1307" s="13">
        <f t="shared" si="102"/>
        <v>0</v>
      </c>
      <c r="J1307" s="13">
        <f t="shared" si="102"/>
        <v>21.298488120950324</v>
      </c>
      <c r="K1307" s="13">
        <f t="shared" si="102"/>
        <v>21.690712742980562</v>
      </c>
    </row>
    <row r="1308" spans="1:11" ht="15.75">
      <c r="A1308" s="1" t="s">
        <v>58</v>
      </c>
      <c r="B1308" s="1"/>
      <c r="C1308" s="1"/>
      <c r="D1308" s="1"/>
      <c r="E1308" s="1"/>
      <c r="F1308" s="1"/>
      <c r="G1308" s="1"/>
      <c r="H1308" s="1"/>
      <c r="I1308" s="1"/>
      <c r="J1308" s="1"/>
      <c r="K1308" s="1"/>
    </row>
    <row r="1309" spans="1:11" ht="47.25">
      <c r="A1309" s="2" t="s">
        <v>1</v>
      </c>
      <c r="B1309" s="2" t="s">
        <v>2</v>
      </c>
      <c r="C1309" s="3" t="s">
        <v>18</v>
      </c>
      <c r="D1309" s="3" t="s">
        <v>4</v>
      </c>
      <c r="E1309" s="3" t="s">
        <v>5</v>
      </c>
      <c r="F1309" s="3" t="s">
        <v>6</v>
      </c>
      <c r="G1309" s="3" t="s">
        <v>7</v>
      </c>
      <c r="H1309" s="3" t="s">
        <v>8</v>
      </c>
      <c r="I1309" s="3" t="s">
        <v>9</v>
      </c>
      <c r="J1309" s="3" t="s">
        <v>19</v>
      </c>
      <c r="K1309" s="4" t="s">
        <v>11</v>
      </c>
    </row>
    <row r="1310" spans="1:11" ht="15.75">
      <c r="A1310" s="5">
        <v>45352</v>
      </c>
      <c r="B1310" s="6" t="s">
        <v>12</v>
      </c>
      <c r="C1310" s="7">
        <v>13.79</v>
      </c>
      <c r="D1310" s="7">
        <v>10.25</v>
      </c>
      <c r="E1310" s="8">
        <v>2650</v>
      </c>
      <c r="F1310" s="8">
        <v>1720</v>
      </c>
      <c r="G1310" s="8">
        <v>4600</v>
      </c>
      <c r="H1310" s="14">
        <f>E1310+F1310+G1310</f>
        <v>8970</v>
      </c>
      <c r="I1310" s="9">
        <v>0</v>
      </c>
      <c r="J1310" s="9">
        <v>8970</v>
      </c>
      <c r="K1310" s="10">
        <v>8738</v>
      </c>
    </row>
    <row r="1311" spans="1:11" ht="15.75">
      <c r="A1311" s="5">
        <v>45353</v>
      </c>
      <c r="B1311" s="6" t="s">
        <v>12</v>
      </c>
      <c r="C1311" s="7">
        <v>13.7</v>
      </c>
      <c r="D1311" s="7">
        <v>9.9499999999999993</v>
      </c>
      <c r="E1311" s="8">
        <v>2650</v>
      </c>
      <c r="F1311" s="8">
        <v>1720</v>
      </c>
      <c r="G1311" s="8">
        <v>4600</v>
      </c>
      <c r="H1311" s="9">
        <f t="shared" ref="H1311:H1340" si="103">E1311+F1311+G1311</f>
        <v>8970</v>
      </c>
      <c r="I1311" s="9">
        <v>0</v>
      </c>
      <c r="J1311" s="9">
        <v>8970</v>
      </c>
      <c r="K1311" s="10">
        <v>8275</v>
      </c>
    </row>
    <row r="1312" spans="1:11" ht="15.75">
      <c r="A1312" s="5">
        <v>45354</v>
      </c>
      <c r="B1312" s="6" t="s">
        <v>12</v>
      </c>
      <c r="C1312" s="7">
        <v>13.61</v>
      </c>
      <c r="D1312" s="7">
        <v>9.65</v>
      </c>
      <c r="E1312" s="8">
        <v>2650</v>
      </c>
      <c r="F1312" s="8">
        <v>1720</v>
      </c>
      <c r="G1312" s="8">
        <v>4600</v>
      </c>
      <c r="H1312" s="9">
        <f t="shared" si="103"/>
        <v>8970</v>
      </c>
      <c r="I1312" s="9">
        <v>0</v>
      </c>
      <c r="J1312" s="9">
        <v>8970</v>
      </c>
      <c r="K1312" s="10">
        <v>8275</v>
      </c>
    </row>
    <row r="1313" spans="1:11" ht="15.75">
      <c r="A1313" s="5">
        <v>45355</v>
      </c>
      <c r="B1313" s="6" t="s">
        <v>12</v>
      </c>
      <c r="C1313" s="7">
        <v>13.57</v>
      </c>
      <c r="D1313" s="7">
        <v>9.5</v>
      </c>
      <c r="E1313" s="8">
        <v>2650</v>
      </c>
      <c r="F1313" s="6">
        <v>1720</v>
      </c>
      <c r="G1313" s="8">
        <v>4600</v>
      </c>
      <c r="H1313" s="9">
        <f t="shared" si="103"/>
        <v>8970</v>
      </c>
      <c r="I1313" s="9">
        <v>0</v>
      </c>
      <c r="J1313" s="9">
        <v>8970</v>
      </c>
      <c r="K1313" s="10">
        <v>8661</v>
      </c>
    </row>
    <row r="1314" spans="1:11" ht="15.75">
      <c r="A1314" s="5">
        <v>45356</v>
      </c>
      <c r="B1314" s="6" t="s">
        <v>12</v>
      </c>
      <c r="C1314" s="7">
        <v>13.5</v>
      </c>
      <c r="D1314" s="7">
        <v>9.3000000000000007</v>
      </c>
      <c r="E1314" s="8">
        <v>2650</v>
      </c>
      <c r="F1314" s="6">
        <v>1720</v>
      </c>
      <c r="G1314" s="8">
        <v>4600</v>
      </c>
      <c r="H1314" s="9">
        <f t="shared" si="103"/>
        <v>8970</v>
      </c>
      <c r="I1314" s="9">
        <v>0</v>
      </c>
      <c r="J1314" s="9">
        <v>8970</v>
      </c>
      <c r="K1314" s="9">
        <v>8431</v>
      </c>
    </row>
    <row r="1315" spans="1:11" ht="15.75">
      <c r="A1315" s="5">
        <v>45357</v>
      </c>
      <c r="B1315" s="6" t="s">
        <v>12</v>
      </c>
      <c r="C1315" s="7">
        <v>13.44</v>
      </c>
      <c r="D1315" s="7">
        <v>9.1</v>
      </c>
      <c r="E1315" s="8">
        <v>2850</v>
      </c>
      <c r="F1315" s="6">
        <v>1720</v>
      </c>
      <c r="G1315" s="8">
        <v>4600</v>
      </c>
      <c r="H1315" s="9">
        <f t="shared" si="103"/>
        <v>9170</v>
      </c>
      <c r="I1315" s="9">
        <v>0</v>
      </c>
      <c r="J1315" s="9">
        <v>9170</v>
      </c>
      <c r="K1315" s="10">
        <v>8707</v>
      </c>
    </row>
    <row r="1316" spans="1:11" ht="15.75">
      <c r="A1316" s="5">
        <v>45358</v>
      </c>
      <c r="B1316" s="6" t="s">
        <v>12</v>
      </c>
      <c r="C1316" s="7">
        <v>13.49</v>
      </c>
      <c r="D1316" s="7">
        <v>9.25</v>
      </c>
      <c r="E1316" s="8">
        <v>2650</v>
      </c>
      <c r="F1316" s="6">
        <v>1720</v>
      </c>
      <c r="G1316" s="8">
        <v>4600</v>
      </c>
      <c r="H1316" s="9">
        <f t="shared" si="103"/>
        <v>8970</v>
      </c>
      <c r="I1316" s="9">
        <v>0</v>
      </c>
      <c r="J1316" s="9">
        <v>8970</v>
      </c>
      <c r="K1316" s="10">
        <v>9355</v>
      </c>
    </row>
    <row r="1317" spans="1:11" ht="15.75">
      <c r="A1317" s="5">
        <v>45359</v>
      </c>
      <c r="B1317" s="6" t="s">
        <v>12</v>
      </c>
      <c r="C1317" s="7">
        <v>13.6</v>
      </c>
      <c r="D1317" s="7">
        <v>9.6</v>
      </c>
      <c r="E1317" s="8">
        <v>2650</v>
      </c>
      <c r="F1317" s="6">
        <v>1720</v>
      </c>
      <c r="G1317" s="8">
        <v>4600</v>
      </c>
      <c r="H1317" s="9">
        <f t="shared" si="103"/>
        <v>8970</v>
      </c>
      <c r="I1317" s="9">
        <v>0</v>
      </c>
      <c r="J1317" s="9">
        <v>8970</v>
      </c>
      <c r="K1317" s="10">
        <v>9818</v>
      </c>
    </row>
    <row r="1318" spans="1:11" ht="15.75">
      <c r="A1318" s="5">
        <v>45360</v>
      </c>
      <c r="B1318" s="6" t="s">
        <v>12</v>
      </c>
      <c r="C1318" s="7">
        <v>13.66</v>
      </c>
      <c r="D1318" s="7">
        <v>9.8000000000000007</v>
      </c>
      <c r="E1318" s="8">
        <v>2650</v>
      </c>
      <c r="F1318" s="6">
        <v>1720</v>
      </c>
      <c r="G1318" s="8">
        <v>4600</v>
      </c>
      <c r="H1318" s="9">
        <f t="shared" si="103"/>
        <v>8970</v>
      </c>
      <c r="I1318" s="9">
        <v>0</v>
      </c>
      <c r="J1318" s="9">
        <v>8970</v>
      </c>
      <c r="K1318" s="10">
        <v>9433</v>
      </c>
    </row>
    <row r="1319" spans="1:11" ht="15.75">
      <c r="A1319" s="5">
        <v>45361</v>
      </c>
      <c r="B1319" s="6" t="s">
        <v>12</v>
      </c>
      <c r="C1319" s="7">
        <v>13.66</v>
      </c>
      <c r="D1319" s="7">
        <v>9.8000000000000007</v>
      </c>
      <c r="E1319" s="8">
        <v>2650</v>
      </c>
      <c r="F1319" s="6">
        <v>1720</v>
      </c>
      <c r="G1319" s="8">
        <v>4600</v>
      </c>
      <c r="H1319" s="9">
        <f t="shared" si="103"/>
        <v>8970</v>
      </c>
      <c r="I1319" s="9">
        <v>0</v>
      </c>
      <c r="J1319" s="9">
        <v>8970</v>
      </c>
      <c r="K1319" s="9">
        <v>8970</v>
      </c>
    </row>
    <row r="1320" spans="1:11" ht="15.75">
      <c r="A1320" s="5">
        <v>45362</v>
      </c>
      <c r="B1320" s="6" t="s">
        <v>12</v>
      </c>
      <c r="C1320" s="7">
        <v>13.64</v>
      </c>
      <c r="D1320" s="7">
        <v>9.75</v>
      </c>
      <c r="E1320" s="8">
        <v>2650</v>
      </c>
      <c r="F1320" s="6">
        <v>1720</v>
      </c>
      <c r="G1320" s="8">
        <v>4600</v>
      </c>
      <c r="H1320" s="9">
        <f t="shared" si="103"/>
        <v>8970</v>
      </c>
      <c r="I1320" s="9">
        <v>0</v>
      </c>
      <c r="J1320" s="9">
        <v>8970</v>
      </c>
      <c r="K1320" s="10">
        <v>8816</v>
      </c>
    </row>
    <row r="1321" spans="1:11" ht="15.75">
      <c r="A1321" s="5">
        <v>45363</v>
      </c>
      <c r="B1321" s="6" t="s">
        <v>12</v>
      </c>
      <c r="C1321" s="7">
        <v>13.64</v>
      </c>
      <c r="D1321" s="7">
        <v>9.75</v>
      </c>
      <c r="E1321" s="8">
        <v>2650</v>
      </c>
      <c r="F1321" s="6">
        <v>1720</v>
      </c>
      <c r="G1321" s="8">
        <v>4600</v>
      </c>
      <c r="H1321" s="9">
        <f t="shared" si="103"/>
        <v>8970</v>
      </c>
      <c r="I1321" s="9">
        <v>0</v>
      </c>
      <c r="J1321" s="9">
        <v>8970</v>
      </c>
      <c r="K1321" s="9">
        <v>8970</v>
      </c>
    </row>
    <row r="1322" spans="1:11" ht="15.75">
      <c r="A1322" s="5">
        <v>45364</v>
      </c>
      <c r="B1322" s="6" t="s">
        <v>12</v>
      </c>
      <c r="C1322" s="7">
        <v>13.67</v>
      </c>
      <c r="D1322" s="7">
        <v>9.85</v>
      </c>
      <c r="E1322" s="8">
        <v>2650</v>
      </c>
      <c r="F1322" s="6">
        <v>1720</v>
      </c>
      <c r="G1322" s="8">
        <v>4600</v>
      </c>
      <c r="H1322" s="9">
        <f t="shared" si="103"/>
        <v>8970</v>
      </c>
      <c r="I1322" s="9">
        <v>0</v>
      </c>
      <c r="J1322" s="9">
        <v>8970</v>
      </c>
      <c r="K1322" s="10">
        <v>9202</v>
      </c>
    </row>
    <row r="1323" spans="1:11" ht="15.75">
      <c r="A1323" s="5">
        <v>45365</v>
      </c>
      <c r="B1323" s="6" t="s">
        <v>12</v>
      </c>
      <c r="C1323" s="7">
        <v>13.69</v>
      </c>
      <c r="D1323" s="7">
        <v>9.9</v>
      </c>
      <c r="E1323" s="8">
        <v>2650</v>
      </c>
      <c r="F1323" s="6">
        <v>1720</v>
      </c>
      <c r="G1323" s="6">
        <v>4600</v>
      </c>
      <c r="H1323" s="9">
        <f t="shared" si="103"/>
        <v>8970</v>
      </c>
      <c r="I1323" s="9">
        <v>0</v>
      </c>
      <c r="J1323" s="9">
        <v>8970</v>
      </c>
      <c r="K1323" s="10">
        <v>9124</v>
      </c>
    </row>
    <row r="1324" spans="1:11" ht="15.75">
      <c r="A1324" s="5">
        <v>45366</v>
      </c>
      <c r="B1324" s="6" t="s">
        <v>12</v>
      </c>
      <c r="C1324" s="7">
        <v>13.69</v>
      </c>
      <c r="D1324" s="7">
        <v>9.9</v>
      </c>
      <c r="E1324" s="8">
        <v>2650</v>
      </c>
      <c r="F1324" s="6">
        <v>1720</v>
      </c>
      <c r="G1324" s="6">
        <v>4600</v>
      </c>
      <c r="H1324" s="9">
        <f t="shared" si="103"/>
        <v>8970</v>
      </c>
      <c r="I1324" s="9">
        <v>0</v>
      </c>
      <c r="J1324" s="9">
        <v>8970</v>
      </c>
      <c r="K1324" s="9">
        <v>8970</v>
      </c>
    </row>
    <row r="1325" spans="1:11" ht="15.75">
      <c r="A1325" s="5">
        <v>45367</v>
      </c>
      <c r="B1325" s="6" t="s">
        <v>12</v>
      </c>
      <c r="C1325" s="7">
        <v>13.69</v>
      </c>
      <c r="D1325" s="7">
        <v>9.9</v>
      </c>
      <c r="E1325" s="8">
        <v>2650</v>
      </c>
      <c r="F1325" s="6">
        <v>1720</v>
      </c>
      <c r="G1325" s="6">
        <v>4600</v>
      </c>
      <c r="H1325" s="9">
        <f t="shared" si="103"/>
        <v>8970</v>
      </c>
      <c r="I1325" s="9">
        <v>0</v>
      </c>
      <c r="J1325" s="9">
        <v>8970</v>
      </c>
      <c r="K1325" s="10">
        <v>8970</v>
      </c>
    </row>
    <row r="1326" spans="1:11" ht="15.75">
      <c r="A1326" s="5">
        <v>45368</v>
      </c>
      <c r="B1326" s="6" t="s">
        <v>12</v>
      </c>
      <c r="C1326" s="7">
        <v>13.64</v>
      </c>
      <c r="D1326" s="7">
        <v>9.75</v>
      </c>
      <c r="E1326" s="8">
        <v>2650</v>
      </c>
      <c r="F1326" s="6">
        <v>1720</v>
      </c>
      <c r="G1326" s="6">
        <v>4600</v>
      </c>
      <c r="H1326" s="9">
        <f t="shared" si="103"/>
        <v>8970</v>
      </c>
      <c r="I1326" s="9">
        <v>0</v>
      </c>
      <c r="J1326" s="9">
        <v>8970</v>
      </c>
      <c r="K1326" s="10">
        <v>8585</v>
      </c>
    </row>
    <row r="1327" spans="1:11" ht="15.75">
      <c r="A1327" s="5">
        <v>45369</v>
      </c>
      <c r="B1327" s="6" t="s">
        <v>12</v>
      </c>
      <c r="C1327" s="7">
        <v>13.6</v>
      </c>
      <c r="D1327" s="7">
        <v>9.6</v>
      </c>
      <c r="E1327" s="8">
        <v>2650</v>
      </c>
      <c r="F1327" s="6">
        <v>1720</v>
      </c>
      <c r="G1327" s="6">
        <v>4600</v>
      </c>
      <c r="H1327" s="9">
        <f t="shared" si="103"/>
        <v>8970</v>
      </c>
      <c r="I1327" s="9">
        <v>0</v>
      </c>
      <c r="J1327" s="9">
        <v>8970</v>
      </c>
      <c r="K1327" s="10">
        <v>8661</v>
      </c>
    </row>
    <row r="1328" spans="1:11" ht="15.75">
      <c r="A1328" s="5">
        <v>45370</v>
      </c>
      <c r="B1328" s="6" t="s">
        <v>12</v>
      </c>
      <c r="C1328" s="7">
        <v>13.57</v>
      </c>
      <c r="D1328" s="7">
        <v>9.5</v>
      </c>
      <c r="E1328" s="8">
        <v>2650</v>
      </c>
      <c r="F1328" s="6">
        <v>1720</v>
      </c>
      <c r="G1328" s="6">
        <v>4600</v>
      </c>
      <c r="H1328" s="9">
        <f t="shared" si="103"/>
        <v>8970</v>
      </c>
      <c r="I1328" s="9">
        <v>0</v>
      </c>
      <c r="J1328" s="9">
        <v>8970</v>
      </c>
      <c r="K1328" s="10">
        <v>8738</v>
      </c>
    </row>
    <row r="1329" spans="1:11" ht="15.75">
      <c r="A1329" s="5">
        <v>45371</v>
      </c>
      <c r="B1329" s="6" t="s">
        <v>12</v>
      </c>
      <c r="C1329" s="7">
        <v>13.57</v>
      </c>
      <c r="D1329" s="7">
        <v>9.5</v>
      </c>
      <c r="E1329" s="8">
        <v>2650</v>
      </c>
      <c r="F1329" s="6">
        <v>1720</v>
      </c>
      <c r="G1329" s="6">
        <v>4600</v>
      </c>
      <c r="H1329" s="9">
        <f t="shared" si="103"/>
        <v>8970</v>
      </c>
      <c r="I1329" s="9">
        <v>0</v>
      </c>
      <c r="J1329" s="9">
        <v>8970</v>
      </c>
      <c r="K1329" s="9">
        <v>8970</v>
      </c>
    </row>
    <row r="1330" spans="1:11" ht="15.75">
      <c r="A1330" s="5">
        <v>45372</v>
      </c>
      <c r="B1330" s="6" t="s">
        <v>12</v>
      </c>
      <c r="C1330" s="7">
        <v>13.55</v>
      </c>
      <c r="D1330" s="7">
        <v>9.4499999999999993</v>
      </c>
      <c r="E1330" s="8">
        <v>2650</v>
      </c>
      <c r="F1330" s="6">
        <v>1720</v>
      </c>
      <c r="G1330" s="6">
        <v>4600</v>
      </c>
      <c r="H1330" s="9">
        <f t="shared" si="103"/>
        <v>8970</v>
      </c>
      <c r="I1330" s="9">
        <v>0</v>
      </c>
      <c r="J1330" s="9">
        <v>8970</v>
      </c>
      <c r="K1330" s="10">
        <v>8816</v>
      </c>
    </row>
    <row r="1331" spans="1:11" ht="15.75">
      <c r="A1331" s="5">
        <v>45373</v>
      </c>
      <c r="B1331" s="6" t="s">
        <v>12</v>
      </c>
      <c r="C1331" s="7">
        <v>13.57</v>
      </c>
      <c r="D1331" s="7">
        <v>9.5</v>
      </c>
      <c r="E1331" s="8">
        <v>2650</v>
      </c>
      <c r="F1331" s="6">
        <v>1720</v>
      </c>
      <c r="G1331" s="6">
        <v>4600</v>
      </c>
      <c r="H1331" s="9">
        <f t="shared" si="103"/>
        <v>8970</v>
      </c>
      <c r="I1331" s="9">
        <v>0</v>
      </c>
      <c r="J1331" s="9">
        <v>8970</v>
      </c>
      <c r="K1331" s="10">
        <v>9124</v>
      </c>
    </row>
    <row r="1332" spans="1:11" ht="15.75">
      <c r="A1332" s="5">
        <v>45374</v>
      </c>
      <c r="B1332" s="6" t="s">
        <v>12</v>
      </c>
      <c r="C1332" s="7">
        <v>13.55</v>
      </c>
      <c r="D1332" s="7">
        <v>9.4499999999999993</v>
      </c>
      <c r="E1332" s="8">
        <v>2650</v>
      </c>
      <c r="F1332" s="6">
        <v>1720</v>
      </c>
      <c r="G1332" s="6">
        <v>4600</v>
      </c>
      <c r="H1332" s="9">
        <f t="shared" si="103"/>
        <v>8970</v>
      </c>
      <c r="I1332" s="9">
        <v>0</v>
      </c>
      <c r="J1332" s="9">
        <v>8970</v>
      </c>
      <c r="K1332" s="10">
        <v>8816</v>
      </c>
    </row>
    <row r="1333" spans="1:11" ht="15.75">
      <c r="A1333" s="5">
        <v>45375</v>
      </c>
      <c r="B1333" s="6" t="s">
        <v>12</v>
      </c>
      <c r="C1333" s="7">
        <v>13.49</v>
      </c>
      <c r="D1333" s="7">
        <v>9.25</v>
      </c>
      <c r="E1333" s="8">
        <v>2650</v>
      </c>
      <c r="F1333" s="6">
        <v>1720</v>
      </c>
      <c r="G1333" s="6">
        <v>4600</v>
      </c>
      <c r="H1333" s="9">
        <f t="shared" si="103"/>
        <v>8970</v>
      </c>
      <c r="I1333" s="9">
        <v>0</v>
      </c>
      <c r="J1333" s="9">
        <v>8970</v>
      </c>
      <c r="K1333" s="10">
        <v>8507</v>
      </c>
    </row>
    <row r="1334" spans="1:11" ht="15.75">
      <c r="A1334" s="5">
        <v>45376</v>
      </c>
      <c r="B1334" s="6" t="s">
        <v>12</v>
      </c>
      <c r="C1334" s="7">
        <v>13.41</v>
      </c>
      <c r="D1334" s="7">
        <v>9</v>
      </c>
      <c r="E1334" s="8">
        <v>2650</v>
      </c>
      <c r="F1334" s="6">
        <v>1720</v>
      </c>
      <c r="G1334" s="6">
        <v>4600</v>
      </c>
      <c r="H1334" s="9">
        <f t="shared" si="103"/>
        <v>8970</v>
      </c>
      <c r="I1334" s="9">
        <v>0</v>
      </c>
      <c r="J1334" s="9">
        <v>8970</v>
      </c>
      <c r="K1334" s="10">
        <v>8353</v>
      </c>
    </row>
    <row r="1335" spans="1:11" ht="15.75">
      <c r="A1335" s="5">
        <v>45377</v>
      </c>
      <c r="B1335" s="6" t="s">
        <v>12</v>
      </c>
      <c r="C1335" s="7">
        <v>13.28</v>
      </c>
      <c r="D1335" s="7">
        <v>8.5500000000000007</v>
      </c>
      <c r="E1335" s="8">
        <v>2650</v>
      </c>
      <c r="F1335" s="6">
        <v>1720</v>
      </c>
      <c r="G1335" s="6">
        <v>4600</v>
      </c>
      <c r="H1335" s="9">
        <f t="shared" si="103"/>
        <v>8970</v>
      </c>
      <c r="I1335" s="9">
        <v>0</v>
      </c>
      <c r="J1335" s="9">
        <v>8970</v>
      </c>
      <c r="K1335" s="10">
        <v>7975</v>
      </c>
    </row>
    <row r="1336" spans="1:11" ht="15.75">
      <c r="A1336" s="5">
        <v>45378</v>
      </c>
      <c r="B1336" s="6" t="s">
        <v>12</v>
      </c>
      <c r="C1336" s="7">
        <v>13.14</v>
      </c>
      <c r="D1336" s="7">
        <v>8.1</v>
      </c>
      <c r="E1336" s="8">
        <v>2650</v>
      </c>
      <c r="F1336" s="6">
        <v>1720</v>
      </c>
      <c r="G1336" s="6">
        <v>4600</v>
      </c>
      <c r="H1336" s="9">
        <f t="shared" si="103"/>
        <v>8970</v>
      </c>
      <c r="I1336" s="9">
        <v>0</v>
      </c>
      <c r="J1336" s="9">
        <v>8970</v>
      </c>
      <c r="K1336" s="9">
        <v>8137</v>
      </c>
    </row>
    <row r="1337" spans="1:11" ht="15.75">
      <c r="A1337" s="5">
        <v>45379</v>
      </c>
      <c r="B1337" s="6" t="s">
        <v>12</v>
      </c>
      <c r="C1337" s="7">
        <v>12.99</v>
      </c>
      <c r="D1337" s="7">
        <v>7.6</v>
      </c>
      <c r="E1337" s="8">
        <v>2650</v>
      </c>
      <c r="F1337" s="6">
        <v>1720</v>
      </c>
      <c r="G1337" s="6">
        <v>4600</v>
      </c>
      <c r="H1337" s="9">
        <f t="shared" si="103"/>
        <v>8970</v>
      </c>
      <c r="I1337" s="9">
        <v>0</v>
      </c>
      <c r="J1337" s="9">
        <v>8970</v>
      </c>
      <c r="K1337" s="9">
        <v>7838</v>
      </c>
    </row>
    <row r="1338" spans="1:11" ht="15.75">
      <c r="A1338" s="5">
        <v>45380</v>
      </c>
      <c r="B1338" s="6" t="s">
        <v>12</v>
      </c>
      <c r="C1338" s="7">
        <v>12.83</v>
      </c>
      <c r="D1338" s="7">
        <v>7.1</v>
      </c>
      <c r="E1338" s="8">
        <v>2650</v>
      </c>
      <c r="F1338" s="6">
        <v>1720</v>
      </c>
      <c r="G1338" s="6">
        <v>4600</v>
      </c>
      <c r="H1338" s="9">
        <f t="shared" si="103"/>
        <v>8970</v>
      </c>
      <c r="I1338" s="9">
        <v>0</v>
      </c>
      <c r="J1338" s="9">
        <v>8970</v>
      </c>
      <c r="K1338" s="9">
        <v>7775</v>
      </c>
    </row>
    <row r="1339" spans="1:11" ht="15.75">
      <c r="A1339" s="5">
        <v>45381</v>
      </c>
      <c r="B1339" s="6" t="s">
        <v>12</v>
      </c>
      <c r="C1339" s="7">
        <v>12.68</v>
      </c>
      <c r="D1339" s="7">
        <v>6.6</v>
      </c>
      <c r="E1339" s="8">
        <v>2650</v>
      </c>
      <c r="F1339" s="6">
        <v>1720</v>
      </c>
      <c r="G1339" s="6">
        <v>4600</v>
      </c>
      <c r="H1339" s="9">
        <f t="shared" si="103"/>
        <v>8970</v>
      </c>
      <c r="I1339" s="9">
        <v>0</v>
      </c>
      <c r="J1339" s="9">
        <v>8970</v>
      </c>
      <c r="K1339" s="9">
        <v>7859</v>
      </c>
    </row>
    <row r="1340" spans="1:11" ht="15.75">
      <c r="A1340" s="5">
        <v>45382</v>
      </c>
      <c r="B1340" s="6" t="s">
        <v>12</v>
      </c>
      <c r="C1340" s="7">
        <v>12.39</v>
      </c>
      <c r="D1340" s="7">
        <v>5.65</v>
      </c>
      <c r="E1340" s="8">
        <v>2472</v>
      </c>
      <c r="F1340" s="6">
        <v>1607</v>
      </c>
      <c r="G1340" s="6">
        <v>4030</v>
      </c>
      <c r="H1340" s="9">
        <f t="shared" si="103"/>
        <v>8109</v>
      </c>
      <c r="I1340" s="9">
        <v>0</v>
      </c>
      <c r="J1340" s="9">
        <v>8109</v>
      </c>
      <c r="K1340" s="9">
        <v>5993</v>
      </c>
    </row>
    <row r="1341" spans="1:11" ht="15.75">
      <c r="A1341" s="2" t="s">
        <v>13</v>
      </c>
      <c r="B1341" s="2"/>
      <c r="C1341" s="2"/>
      <c r="D1341" s="2"/>
      <c r="E1341" s="11">
        <f t="shared" ref="E1341:K1341" si="104">SUM(E1310:E1340)</f>
        <v>82172</v>
      </c>
      <c r="F1341" s="11">
        <f t="shared" si="104"/>
        <v>53207</v>
      </c>
      <c r="G1341" s="11">
        <f t="shared" si="104"/>
        <v>142030</v>
      </c>
      <c r="H1341" s="11">
        <f t="shared" si="104"/>
        <v>277409</v>
      </c>
      <c r="I1341" s="11">
        <f t="shared" si="104"/>
        <v>0</v>
      </c>
      <c r="J1341" s="11">
        <f t="shared" si="104"/>
        <v>277409</v>
      </c>
      <c r="K1341" s="11">
        <f t="shared" si="104"/>
        <v>266862</v>
      </c>
    </row>
    <row r="1342" spans="1:11" ht="15.75">
      <c r="A1342" s="12"/>
      <c r="B1342" s="2"/>
      <c r="C1342" s="2"/>
      <c r="D1342" s="2"/>
      <c r="E1342" s="13">
        <f t="shared" ref="E1342:K1342" si="105">SUM(E1341/11575)</f>
        <v>7.0990928725701945</v>
      </c>
      <c r="F1342" s="13">
        <f t="shared" si="105"/>
        <v>4.5967170626349896</v>
      </c>
      <c r="G1342" s="13">
        <f t="shared" si="105"/>
        <v>12.270410367170626</v>
      </c>
      <c r="H1342" s="13">
        <f t="shared" si="105"/>
        <v>23.96622030237581</v>
      </c>
      <c r="I1342" s="13">
        <f t="shared" si="105"/>
        <v>0</v>
      </c>
      <c r="J1342" s="13">
        <f t="shared" si="105"/>
        <v>23.96622030237581</v>
      </c>
      <c r="K1342" s="13">
        <f t="shared" si="105"/>
        <v>23.055032397408208</v>
      </c>
    </row>
    <row r="1343" spans="1:11" ht="15.75">
      <c r="A1343" s="1" t="s">
        <v>59</v>
      </c>
      <c r="B1343" s="1"/>
      <c r="C1343" s="1"/>
      <c r="D1343" s="1"/>
      <c r="E1343" s="1"/>
      <c r="F1343" s="1"/>
      <c r="G1343" s="1"/>
      <c r="H1343" s="1"/>
      <c r="I1343" s="1"/>
      <c r="J1343" s="1"/>
      <c r="K1343" s="1"/>
    </row>
    <row r="1344" spans="1:11" ht="47.25">
      <c r="A1344" s="2" t="s">
        <v>1</v>
      </c>
      <c r="B1344" s="2" t="s">
        <v>2</v>
      </c>
      <c r="C1344" s="3" t="s">
        <v>18</v>
      </c>
      <c r="D1344" s="3" t="s">
        <v>4</v>
      </c>
      <c r="E1344" s="3" t="s">
        <v>5</v>
      </c>
      <c r="F1344" s="3" t="s">
        <v>6</v>
      </c>
      <c r="G1344" s="3" t="s">
        <v>7</v>
      </c>
      <c r="H1344" s="3" t="s">
        <v>8</v>
      </c>
      <c r="I1344" s="3" t="s">
        <v>9</v>
      </c>
      <c r="J1344" s="3" t="s">
        <v>19</v>
      </c>
      <c r="K1344" s="4" t="s">
        <v>11</v>
      </c>
    </row>
    <row r="1345" spans="1:11" ht="15.75">
      <c r="A1345" s="5">
        <v>45383</v>
      </c>
      <c r="B1345" s="6" t="s">
        <v>12</v>
      </c>
      <c r="C1345" s="7">
        <v>12.27</v>
      </c>
      <c r="D1345" s="7">
        <v>5.25</v>
      </c>
      <c r="E1345" s="8">
        <v>1730</v>
      </c>
      <c r="F1345" s="8">
        <v>1125</v>
      </c>
      <c r="G1345" s="8">
        <v>3000</v>
      </c>
      <c r="H1345" s="14">
        <f>E1345+F1345+G1345</f>
        <v>5855</v>
      </c>
      <c r="I1345" s="9">
        <v>0</v>
      </c>
      <c r="J1345" s="9">
        <v>5855</v>
      </c>
      <c r="K1345" s="10">
        <v>5008</v>
      </c>
    </row>
    <row r="1346" spans="1:11" ht="15.75">
      <c r="A1346" s="5">
        <v>45384</v>
      </c>
      <c r="B1346" s="6" t="s">
        <v>12</v>
      </c>
      <c r="C1346" s="7">
        <v>12.33</v>
      </c>
      <c r="D1346" s="7">
        <v>5.45</v>
      </c>
      <c r="E1346" s="8">
        <v>1500</v>
      </c>
      <c r="F1346" s="8">
        <v>1125</v>
      </c>
      <c r="G1346" s="8">
        <v>2800</v>
      </c>
      <c r="H1346" s="9">
        <f t="shared" ref="H1346:H1374" si="106">E1346+F1346+G1346</f>
        <v>5425</v>
      </c>
      <c r="I1346" s="9">
        <v>0</v>
      </c>
      <c r="J1346" s="9">
        <v>5425</v>
      </c>
      <c r="K1346" s="10">
        <v>5848</v>
      </c>
    </row>
    <row r="1347" spans="1:11" ht="15.75">
      <c r="A1347" s="5">
        <v>45385</v>
      </c>
      <c r="B1347" s="6" t="s">
        <v>12</v>
      </c>
      <c r="C1347" s="7">
        <v>12.4</v>
      </c>
      <c r="D1347" s="7">
        <v>5.7</v>
      </c>
      <c r="E1347" s="8">
        <v>1500</v>
      </c>
      <c r="F1347" s="8">
        <v>1200</v>
      </c>
      <c r="G1347" s="8">
        <v>2800</v>
      </c>
      <c r="H1347" s="9">
        <f t="shared" si="106"/>
        <v>5500</v>
      </c>
      <c r="I1347" s="9">
        <v>0</v>
      </c>
      <c r="J1347" s="9">
        <v>5500</v>
      </c>
      <c r="K1347" s="10">
        <v>5995</v>
      </c>
    </row>
    <row r="1348" spans="1:11" ht="15.75">
      <c r="A1348" s="5">
        <v>45386</v>
      </c>
      <c r="B1348" s="6" t="s">
        <v>12</v>
      </c>
      <c r="C1348" s="7">
        <v>12.45</v>
      </c>
      <c r="D1348" s="7">
        <v>5.85</v>
      </c>
      <c r="E1348" s="8">
        <v>1500</v>
      </c>
      <c r="F1348" s="6">
        <v>1250</v>
      </c>
      <c r="G1348" s="8">
        <v>2800</v>
      </c>
      <c r="H1348" s="9">
        <f t="shared" si="106"/>
        <v>5550</v>
      </c>
      <c r="I1348" s="9">
        <v>0</v>
      </c>
      <c r="J1348" s="9">
        <v>5550</v>
      </c>
      <c r="K1348" s="10">
        <v>5905</v>
      </c>
    </row>
    <row r="1349" spans="1:11" ht="15.75">
      <c r="A1349" s="5">
        <v>45387</v>
      </c>
      <c r="B1349" s="6" t="s">
        <v>12</v>
      </c>
      <c r="C1349" s="7">
        <v>12.51</v>
      </c>
      <c r="D1349" s="7">
        <v>6.05</v>
      </c>
      <c r="E1349" s="8">
        <v>1650</v>
      </c>
      <c r="F1349" s="6">
        <v>1250</v>
      </c>
      <c r="G1349" s="8">
        <v>3000</v>
      </c>
      <c r="H1349" s="9">
        <f t="shared" si="106"/>
        <v>5900</v>
      </c>
      <c r="I1349" s="9">
        <v>0</v>
      </c>
      <c r="J1349" s="9">
        <v>5900</v>
      </c>
      <c r="K1349" s="9">
        <v>6341</v>
      </c>
    </row>
    <row r="1350" spans="1:11" ht="15.75">
      <c r="A1350" s="5">
        <v>45388</v>
      </c>
      <c r="B1350" s="6" t="s">
        <v>12</v>
      </c>
      <c r="C1350" s="7">
        <v>12.68</v>
      </c>
      <c r="D1350" s="7">
        <v>6.6</v>
      </c>
      <c r="E1350" s="8">
        <v>1800</v>
      </c>
      <c r="F1350" s="6">
        <v>1300</v>
      </c>
      <c r="G1350" s="8">
        <v>3100</v>
      </c>
      <c r="H1350" s="9">
        <f t="shared" si="106"/>
        <v>6200</v>
      </c>
      <c r="I1350" s="9">
        <v>0</v>
      </c>
      <c r="J1350" s="9">
        <v>6200</v>
      </c>
      <c r="K1350" s="10">
        <v>7448</v>
      </c>
    </row>
    <row r="1351" spans="1:11" ht="15.75">
      <c r="A1351" s="5">
        <v>45389</v>
      </c>
      <c r="B1351" s="6" t="s">
        <v>12</v>
      </c>
      <c r="C1351" s="7">
        <v>12.8</v>
      </c>
      <c r="D1351" s="7">
        <v>7</v>
      </c>
      <c r="E1351" s="8">
        <v>1800</v>
      </c>
      <c r="F1351" s="6">
        <v>1300</v>
      </c>
      <c r="G1351" s="8">
        <v>3300</v>
      </c>
      <c r="H1351" s="9">
        <f t="shared" si="106"/>
        <v>6400</v>
      </c>
      <c r="I1351" s="9">
        <v>0</v>
      </c>
      <c r="J1351" s="9">
        <v>6400</v>
      </c>
      <c r="K1351" s="10">
        <v>7288</v>
      </c>
    </row>
    <row r="1352" spans="1:11" ht="15.75">
      <c r="A1352" s="5">
        <v>45390</v>
      </c>
      <c r="B1352" s="6" t="s">
        <v>12</v>
      </c>
      <c r="C1352" s="7">
        <v>12.91</v>
      </c>
      <c r="D1352" s="7">
        <v>7.35</v>
      </c>
      <c r="E1352" s="8">
        <v>1800</v>
      </c>
      <c r="F1352" s="6">
        <v>1300</v>
      </c>
      <c r="G1352" s="8">
        <v>3300</v>
      </c>
      <c r="H1352" s="9">
        <f t="shared" si="106"/>
        <v>6400</v>
      </c>
      <c r="I1352" s="9">
        <v>0</v>
      </c>
      <c r="J1352" s="9">
        <v>6400</v>
      </c>
      <c r="K1352" s="10">
        <v>7221</v>
      </c>
    </row>
    <row r="1353" spans="1:11" ht="15.75">
      <c r="A1353" s="5">
        <v>45391</v>
      </c>
      <c r="B1353" s="6" t="s">
        <v>12</v>
      </c>
      <c r="C1353" s="7">
        <v>13.05</v>
      </c>
      <c r="D1353" s="7">
        <v>7.8</v>
      </c>
      <c r="E1353" s="8">
        <v>1800</v>
      </c>
      <c r="F1353" s="6">
        <v>1300</v>
      </c>
      <c r="G1353" s="8">
        <v>3500</v>
      </c>
      <c r="H1353" s="9">
        <f t="shared" si="106"/>
        <v>6600</v>
      </c>
      <c r="I1353" s="9">
        <v>0</v>
      </c>
      <c r="J1353" s="9">
        <v>6600</v>
      </c>
      <c r="K1353" s="10">
        <v>7645</v>
      </c>
    </row>
    <row r="1354" spans="1:11" ht="15.75">
      <c r="A1354" s="5">
        <v>45392</v>
      </c>
      <c r="B1354" s="6" t="s">
        <v>12</v>
      </c>
      <c r="C1354" s="7">
        <v>13.12</v>
      </c>
      <c r="D1354" s="7">
        <v>8.0500000000000007</v>
      </c>
      <c r="E1354" s="8">
        <v>2000</v>
      </c>
      <c r="F1354" s="6">
        <v>1400</v>
      </c>
      <c r="G1354" s="8">
        <v>3500</v>
      </c>
      <c r="H1354" s="9">
        <f t="shared" si="106"/>
        <v>6900</v>
      </c>
      <c r="I1354" s="9">
        <v>0</v>
      </c>
      <c r="J1354" s="9">
        <v>6900</v>
      </c>
      <c r="K1354" s="9">
        <v>7431</v>
      </c>
    </row>
    <row r="1355" spans="1:11" ht="15.75">
      <c r="A1355" s="5">
        <v>45393</v>
      </c>
      <c r="B1355" s="6" t="s">
        <v>12</v>
      </c>
      <c r="C1355" s="7">
        <v>13.18</v>
      </c>
      <c r="D1355" s="7">
        <v>8.25</v>
      </c>
      <c r="E1355" s="8">
        <v>2000</v>
      </c>
      <c r="F1355" s="6">
        <v>1550</v>
      </c>
      <c r="G1355" s="8">
        <v>3500</v>
      </c>
      <c r="H1355" s="9">
        <f t="shared" si="106"/>
        <v>7050</v>
      </c>
      <c r="I1355" s="9">
        <v>0</v>
      </c>
      <c r="J1355" s="9">
        <v>7050</v>
      </c>
      <c r="K1355" s="10">
        <v>7506</v>
      </c>
    </row>
    <row r="1356" spans="1:11" ht="15.75">
      <c r="A1356" s="5">
        <v>45394</v>
      </c>
      <c r="B1356" s="6" t="s">
        <v>12</v>
      </c>
      <c r="C1356" s="7">
        <v>13.23</v>
      </c>
      <c r="D1356" s="7">
        <v>8.4</v>
      </c>
      <c r="E1356" s="8">
        <v>2000</v>
      </c>
      <c r="F1356" s="6">
        <v>1550</v>
      </c>
      <c r="G1356" s="8">
        <v>3500</v>
      </c>
      <c r="H1356" s="9">
        <f t="shared" si="106"/>
        <v>7050</v>
      </c>
      <c r="I1356" s="9">
        <v>0</v>
      </c>
      <c r="J1356" s="9">
        <v>7050</v>
      </c>
      <c r="K1356" s="9">
        <v>7430</v>
      </c>
    </row>
    <row r="1357" spans="1:11" ht="15.75">
      <c r="A1357" s="5">
        <v>45395</v>
      </c>
      <c r="B1357" s="6" t="s">
        <v>12</v>
      </c>
      <c r="C1357" s="7">
        <v>13.23</v>
      </c>
      <c r="D1357" s="7">
        <v>8.4</v>
      </c>
      <c r="E1357" s="8">
        <v>2000</v>
      </c>
      <c r="F1357" s="6">
        <v>1550</v>
      </c>
      <c r="G1357" s="8">
        <v>3600</v>
      </c>
      <c r="H1357" s="9">
        <f t="shared" si="106"/>
        <v>7150</v>
      </c>
      <c r="I1357" s="9">
        <v>0</v>
      </c>
      <c r="J1357" s="9">
        <v>7150</v>
      </c>
      <c r="K1357" s="10">
        <v>7150</v>
      </c>
    </row>
    <row r="1358" spans="1:11" ht="15.75">
      <c r="A1358" s="5">
        <v>45396</v>
      </c>
      <c r="B1358" s="6" t="s">
        <v>12</v>
      </c>
      <c r="C1358" s="7">
        <v>13.23</v>
      </c>
      <c r="D1358" s="7">
        <v>8.4</v>
      </c>
      <c r="E1358" s="8">
        <v>2000</v>
      </c>
      <c r="F1358" s="6">
        <v>1550</v>
      </c>
      <c r="G1358" s="6">
        <v>3600</v>
      </c>
      <c r="H1358" s="9">
        <f t="shared" si="106"/>
        <v>7150</v>
      </c>
      <c r="I1358" s="9">
        <v>0</v>
      </c>
      <c r="J1358" s="9">
        <v>7150</v>
      </c>
      <c r="K1358" s="10">
        <v>7150</v>
      </c>
    </row>
    <row r="1359" spans="1:11" ht="15.75">
      <c r="A1359" s="5">
        <v>45397</v>
      </c>
      <c r="B1359" s="6" t="s">
        <v>12</v>
      </c>
      <c r="C1359" s="7">
        <v>13.23</v>
      </c>
      <c r="D1359" s="7">
        <v>8.4</v>
      </c>
      <c r="E1359" s="8">
        <v>2000</v>
      </c>
      <c r="F1359" s="6">
        <v>1550</v>
      </c>
      <c r="G1359" s="6">
        <v>3600</v>
      </c>
      <c r="H1359" s="9">
        <f t="shared" si="106"/>
        <v>7150</v>
      </c>
      <c r="I1359" s="9">
        <v>0</v>
      </c>
      <c r="J1359" s="9">
        <v>7150</v>
      </c>
      <c r="K1359" s="9">
        <v>7150</v>
      </c>
    </row>
    <row r="1360" spans="1:11" ht="15.75">
      <c r="A1360" s="5">
        <v>45398</v>
      </c>
      <c r="B1360" s="6" t="s">
        <v>12</v>
      </c>
      <c r="C1360" s="7">
        <v>13.2</v>
      </c>
      <c r="D1360" s="7">
        <v>8.3000000000000007</v>
      </c>
      <c r="E1360" s="8">
        <v>2000</v>
      </c>
      <c r="F1360" s="6">
        <v>1550</v>
      </c>
      <c r="G1360" s="6">
        <v>3600</v>
      </c>
      <c r="H1360" s="9">
        <f t="shared" si="106"/>
        <v>7150</v>
      </c>
      <c r="I1360" s="9">
        <v>0</v>
      </c>
      <c r="J1360" s="9">
        <v>7150</v>
      </c>
      <c r="K1360" s="10">
        <v>6922</v>
      </c>
    </row>
    <row r="1361" spans="1:11" ht="15.75">
      <c r="A1361" s="5">
        <v>45399</v>
      </c>
      <c r="B1361" s="6" t="s">
        <v>12</v>
      </c>
      <c r="C1361" s="7">
        <v>13.12</v>
      </c>
      <c r="D1361" s="7">
        <v>8.0500000000000007</v>
      </c>
      <c r="E1361" s="8">
        <v>2000</v>
      </c>
      <c r="F1361" s="6">
        <v>1550</v>
      </c>
      <c r="G1361" s="6">
        <v>3600</v>
      </c>
      <c r="H1361" s="9">
        <f t="shared" si="106"/>
        <v>7150</v>
      </c>
      <c r="I1361" s="9">
        <v>0</v>
      </c>
      <c r="J1361" s="9">
        <v>7150</v>
      </c>
      <c r="K1361" s="10">
        <v>6542</v>
      </c>
    </row>
    <row r="1362" spans="1:11" ht="15.75">
      <c r="A1362" s="5">
        <v>45400</v>
      </c>
      <c r="B1362" s="6" t="s">
        <v>12</v>
      </c>
      <c r="C1362" s="7">
        <v>13.09</v>
      </c>
      <c r="D1362" s="7">
        <v>7.95</v>
      </c>
      <c r="E1362" s="8">
        <v>1500</v>
      </c>
      <c r="F1362" s="6">
        <v>1200</v>
      </c>
      <c r="G1362" s="6">
        <v>3100</v>
      </c>
      <c r="H1362" s="9">
        <f t="shared" si="106"/>
        <v>5800</v>
      </c>
      <c r="I1362" s="9">
        <v>0</v>
      </c>
      <c r="J1362" s="9">
        <v>5800</v>
      </c>
      <c r="K1362" s="10">
        <v>5572</v>
      </c>
    </row>
    <row r="1363" spans="1:11" ht="15.75">
      <c r="A1363" s="5">
        <v>45401</v>
      </c>
      <c r="B1363" s="6" t="s">
        <v>12</v>
      </c>
      <c r="C1363" s="7">
        <v>13.06</v>
      </c>
      <c r="D1363" s="7">
        <v>7.85</v>
      </c>
      <c r="E1363" s="8">
        <v>1500</v>
      </c>
      <c r="F1363" s="6">
        <v>1200</v>
      </c>
      <c r="G1363" s="6">
        <v>3100</v>
      </c>
      <c r="H1363" s="9">
        <f t="shared" si="106"/>
        <v>5800</v>
      </c>
      <c r="I1363" s="9">
        <v>0</v>
      </c>
      <c r="J1363" s="9">
        <v>5800</v>
      </c>
      <c r="K1363" s="10">
        <v>5573</v>
      </c>
    </row>
    <row r="1364" spans="1:11" ht="15.75">
      <c r="A1364" s="5">
        <v>45402</v>
      </c>
      <c r="B1364" s="6" t="s">
        <v>12</v>
      </c>
      <c r="C1364" s="7">
        <v>13.05</v>
      </c>
      <c r="D1364" s="7">
        <v>7.8</v>
      </c>
      <c r="E1364" s="8">
        <v>1500</v>
      </c>
      <c r="F1364" s="6">
        <v>1200</v>
      </c>
      <c r="G1364" s="6">
        <v>3100</v>
      </c>
      <c r="H1364" s="9">
        <f t="shared" si="106"/>
        <v>5800</v>
      </c>
      <c r="I1364" s="9">
        <v>0</v>
      </c>
      <c r="J1364" s="9">
        <v>5800</v>
      </c>
      <c r="K1364" s="9">
        <v>5724</v>
      </c>
    </row>
    <row r="1365" spans="1:11" ht="15.75">
      <c r="A1365" s="5">
        <v>45403</v>
      </c>
      <c r="B1365" s="6" t="s">
        <v>12</v>
      </c>
      <c r="C1365" s="7">
        <v>13.02</v>
      </c>
      <c r="D1365" s="7">
        <v>7.7</v>
      </c>
      <c r="E1365" s="8">
        <v>1500</v>
      </c>
      <c r="F1365" s="6">
        <v>1200</v>
      </c>
      <c r="G1365" s="6">
        <v>3100</v>
      </c>
      <c r="H1365" s="9">
        <f t="shared" si="106"/>
        <v>5800</v>
      </c>
      <c r="I1365" s="9">
        <v>0</v>
      </c>
      <c r="J1365" s="9">
        <v>5800</v>
      </c>
      <c r="K1365" s="10">
        <v>5575</v>
      </c>
    </row>
    <row r="1366" spans="1:11" ht="15.75">
      <c r="A1366" s="5">
        <v>45404</v>
      </c>
      <c r="B1366" s="6" t="s">
        <v>12</v>
      </c>
      <c r="C1366" s="7">
        <v>13</v>
      </c>
      <c r="D1366" s="7">
        <v>7.65</v>
      </c>
      <c r="E1366" s="8">
        <v>1500</v>
      </c>
      <c r="F1366" s="6">
        <v>1200</v>
      </c>
      <c r="G1366" s="6">
        <v>3100</v>
      </c>
      <c r="H1366" s="9">
        <f t="shared" si="106"/>
        <v>5800</v>
      </c>
      <c r="I1366" s="9">
        <v>0</v>
      </c>
      <c r="J1366" s="9">
        <v>5800</v>
      </c>
      <c r="K1366" s="10">
        <v>5651</v>
      </c>
    </row>
    <row r="1367" spans="1:11" ht="15.75">
      <c r="A1367" s="5">
        <v>45405</v>
      </c>
      <c r="B1367" s="6" t="s">
        <v>12</v>
      </c>
      <c r="C1367" s="7">
        <v>13.03</v>
      </c>
      <c r="D1367" s="7">
        <v>7.75</v>
      </c>
      <c r="E1367" s="8">
        <v>1500</v>
      </c>
      <c r="F1367" s="6">
        <v>1200</v>
      </c>
      <c r="G1367" s="6">
        <v>3100</v>
      </c>
      <c r="H1367" s="9">
        <f t="shared" si="106"/>
        <v>5800</v>
      </c>
      <c r="I1367" s="9">
        <v>0</v>
      </c>
      <c r="J1367" s="9">
        <v>5800</v>
      </c>
      <c r="K1367" s="10">
        <v>6023</v>
      </c>
    </row>
    <row r="1368" spans="1:11" ht="15.75">
      <c r="A1368" s="5">
        <v>45406</v>
      </c>
      <c r="B1368" s="6" t="s">
        <v>12</v>
      </c>
      <c r="C1368" s="7">
        <v>13.03</v>
      </c>
      <c r="D1368" s="7">
        <v>7.75</v>
      </c>
      <c r="E1368" s="8">
        <v>1500</v>
      </c>
      <c r="F1368" s="6">
        <v>1200</v>
      </c>
      <c r="G1368" s="6">
        <v>3100</v>
      </c>
      <c r="H1368" s="9">
        <f t="shared" si="106"/>
        <v>5800</v>
      </c>
      <c r="I1368" s="9">
        <v>0</v>
      </c>
      <c r="J1368" s="9">
        <v>5800</v>
      </c>
      <c r="K1368" s="9">
        <v>5800</v>
      </c>
    </row>
    <row r="1369" spans="1:11" ht="15.75">
      <c r="A1369" s="5">
        <v>45407</v>
      </c>
      <c r="B1369" s="6" t="s">
        <v>12</v>
      </c>
      <c r="C1369" s="7">
        <v>13.02</v>
      </c>
      <c r="D1369" s="7">
        <v>7.7</v>
      </c>
      <c r="E1369" s="8">
        <v>1500</v>
      </c>
      <c r="F1369" s="6">
        <v>1200</v>
      </c>
      <c r="G1369" s="6">
        <v>3100</v>
      </c>
      <c r="H1369" s="9">
        <f t="shared" si="106"/>
        <v>5800</v>
      </c>
      <c r="I1369" s="9">
        <v>0</v>
      </c>
      <c r="J1369" s="9">
        <v>5800</v>
      </c>
      <c r="K1369" s="10">
        <v>5726</v>
      </c>
    </row>
    <row r="1370" spans="1:11" ht="15.75">
      <c r="A1370" s="5">
        <v>45408</v>
      </c>
      <c r="B1370" s="6" t="s">
        <v>12</v>
      </c>
      <c r="C1370" s="7">
        <v>12.96</v>
      </c>
      <c r="D1370" s="7">
        <v>7.5</v>
      </c>
      <c r="E1370" s="8">
        <v>1500</v>
      </c>
      <c r="F1370" s="6">
        <v>1200</v>
      </c>
      <c r="G1370" s="6">
        <v>3350</v>
      </c>
      <c r="H1370" s="9">
        <f t="shared" si="106"/>
        <v>6050</v>
      </c>
      <c r="I1370" s="9">
        <v>0</v>
      </c>
      <c r="J1370" s="9">
        <v>6050</v>
      </c>
      <c r="K1370" s="10">
        <v>5602</v>
      </c>
    </row>
    <row r="1371" spans="1:11" ht="15.75">
      <c r="A1371" s="5">
        <v>45409</v>
      </c>
      <c r="B1371" s="6" t="s">
        <v>12</v>
      </c>
      <c r="C1371" s="7">
        <v>12.93</v>
      </c>
      <c r="D1371" s="7">
        <v>7.4</v>
      </c>
      <c r="E1371" s="8">
        <v>1500</v>
      </c>
      <c r="F1371" s="6">
        <v>1100</v>
      </c>
      <c r="G1371" s="6">
        <v>3350</v>
      </c>
      <c r="H1371" s="9">
        <f t="shared" si="106"/>
        <v>5950</v>
      </c>
      <c r="I1371" s="9">
        <v>0</v>
      </c>
      <c r="J1371" s="9">
        <v>5950</v>
      </c>
      <c r="K1371" s="9">
        <v>5727</v>
      </c>
    </row>
    <row r="1372" spans="1:11" ht="15.75">
      <c r="A1372" s="5">
        <v>45410</v>
      </c>
      <c r="B1372" s="6" t="s">
        <v>12</v>
      </c>
      <c r="C1372" s="7">
        <v>12.89</v>
      </c>
      <c r="D1372" s="7">
        <v>7.3</v>
      </c>
      <c r="E1372" s="8">
        <v>1500</v>
      </c>
      <c r="F1372" s="6">
        <v>800</v>
      </c>
      <c r="G1372" s="6">
        <v>3350</v>
      </c>
      <c r="H1372" s="9">
        <f t="shared" si="106"/>
        <v>5650</v>
      </c>
      <c r="I1372" s="9">
        <v>0</v>
      </c>
      <c r="J1372" s="9">
        <v>5650</v>
      </c>
      <c r="K1372" s="9">
        <v>5351</v>
      </c>
    </row>
    <row r="1373" spans="1:11" ht="15.75">
      <c r="A1373" s="5">
        <v>45411</v>
      </c>
      <c r="B1373" s="6" t="s">
        <v>12</v>
      </c>
      <c r="C1373" s="7">
        <v>12.89</v>
      </c>
      <c r="D1373" s="7">
        <v>7.3</v>
      </c>
      <c r="E1373" s="8">
        <v>1500</v>
      </c>
      <c r="F1373" s="6">
        <v>800</v>
      </c>
      <c r="G1373" s="6">
        <v>3350</v>
      </c>
      <c r="H1373" s="9">
        <f t="shared" si="106"/>
        <v>5650</v>
      </c>
      <c r="I1373" s="9">
        <v>0</v>
      </c>
      <c r="J1373" s="9">
        <v>5650</v>
      </c>
      <c r="K1373" s="9">
        <v>5650</v>
      </c>
    </row>
    <row r="1374" spans="1:11" ht="15.75">
      <c r="A1374" s="5">
        <v>45412</v>
      </c>
      <c r="B1374" s="6" t="s">
        <v>12</v>
      </c>
      <c r="C1374" s="7">
        <v>12.89</v>
      </c>
      <c r="D1374" s="7">
        <v>7.3</v>
      </c>
      <c r="E1374" s="8">
        <v>1500</v>
      </c>
      <c r="F1374" s="6">
        <v>800</v>
      </c>
      <c r="G1374" s="6">
        <v>3350</v>
      </c>
      <c r="H1374" s="9">
        <f t="shared" si="106"/>
        <v>5650</v>
      </c>
      <c r="I1374" s="9">
        <v>0</v>
      </c>
      <c r="J1374" s="9">
        <v>5650</v>
      </c>
      <c r="K1374" s="9">
        <v>5650</v>
      </c>
    </row>
    <row r="1375" spans="1:11" ht="15.75">
      <c r="A1375" s="2" t="s">
        <v>13</v>
      </c>
      <c r="B1375" s="2"/>
      <c r="C1375" s="2"/>
      <c r="D1375" s="2"/>
      <c r="E1375" s="11">
        <f t="shared" ref="E1375:K1375" si="107">SUM(E1345:E1374)</f>
        <v>50580</v>
      </c>
      <c r="F1375" s="11">
        <f t="shared" si="107"/>
        <v>37700</v>
      </c>
      <c r="G1375" s="11">
        <f t="shared" si="107"/>
        <v>97650</v>
      </c>
      <c r="H1375" s="11">
        <f t="shared" si="107"/>
        <v>185930</v>
      </c>
      <c r="I1375" s="11">
        <f t="shared" si="107"/>
        <v>0</v>
      </c>
      <c r="J1375" s="11">
        <f t="shared" si="107"/>
        <v>185930</v>
      </c>
      <c r="K1375" s="11">
        <f t="shared" si="107"/>
        <v>189604</v>
      </c>
    </row>
    <row r="1376" spans="1:11" ht="15.75">
      <c r="A1376" s="12"/>
      <c r="B1376" s="2"/>
      <c r="C1376" s="2"/>
      <c r="D1376" s="2"/>
      <c r="E1376" s="13">
        <f t="shared" ref="E1376:K1376" si="108">SUM(E1375/11575)</f>
        <v>4.3697624190064799</v>
      </c>
      <c r="F1376" s="13">
        <f t="shared" si="108"/>
        <v>3.2570194384449245</v>
      </c>
      <c r="G1376" s="13">
        <f t="shared" si="108"/>
        <v>8.4362850971922239</v>
      </c>
      <c r="H1376" s="13">
        <f t="shared" si="108"/>
        <v>16.063066954643627</v>
      </c>
      <c r="I1376" s="13">
        <f t="shared" si="108"/>
        <v>0</v>
      </c>
      <c r="J1376" s="13">
        <f t="shared" si="108"/>
        <v>16.063066954643627</v>
      </c>
      <c r="K1376" s="13">
        <f t="shared" si="108"/>
        <v>16.380475161987039</v>
      </c>
    </row>
    <row r="1377" spans="1:11" ht="15.75">
      <c r="A1377" s="1" t="s">
        <v>60</v>
      </c>
      <c r="B1377" s="1"/>
      <c r="C1377" s="1"/>
      <c r="D1377" s="1"/>
      <c r="E1377" s="1"/>
      <c r="F1377" s="1"/>
      <c r="G1377" s="1"/>
      <c r="H1377" s="1"/>
      <c r="I1377" s="1"/>
      <c r="J1377" s="1"/>
      <c r="K1377" s="1"/>
    </row>
    <row r="1378" spans="1:11" ht="47.25">
      <c r="A1378" s="2" t="s">
        <v>1</v>
      </c>
      <c r="B1378" s="2" t="s">
        <v>2</v>
      </c>
      <c r="C1378" s="3" t="s">
        <v>18</v>
      </c>
      <c r="D1378" s="3" t="s">
        <v>4</v>
      </c>
      <c r="E1378" s="3" t="s">
        <v>5</v>
      </c>
      <c r="F1378" s="3" t="s">
        <v>6</v>
      </c>
      <c r="G1378" s="3" t="s">
        <v>7</v>
      </c>
      <c r="H1378" s="3" t="s">
        <v>8</v>
      </c>
      <c r="I1378" s="3" t="s">
        <v>9</v>
      </c>
      <c r="J1378" s="3" t="s">
        <v>19</v>
      </c>
      <c r="K1378" s="4" t="s">
        <v>11</v>
      </c>
    </row>
    <row r="1379" spans="1:11" ht="15.75">
      <c r="A1379" s="5">
        <v>45413</v>
      </c>
      <c r="B1379" s="6" t="s">
        <v>12</v>
      </c>
      <c r="C1379" s="7">
        <v>12.94</v>
      </c>
      <c r="D1379" s="7">
        <v>7.45</v>
      </c>
      <c r="E1379" s="8">
        <v>1000</v>
      </c>
      <c r="F1379" s="8">
        <v>800</v>
      </c>
      <c r="G1379" s="8">
        <v>3350</v>
      </c>
      <c r="H1379" s="14">
        <f>E1379+F1379+G1379</f>
        <v>5150</v>
      </c>
      <c r="I1379" s="9">
        <v>0</v>
      </c>
      <c r="J1379" s="9">
        <v>5150</v>
      </c>
      <c r="K1379" s="10">
        <v>5523</v>
      </c>
    </row>
    <row r="1380" spans="1:11" ht="15.75">
      <c r="A1380" s="5">
        <v>45414</v>
      </c>
      <c r="B1380" s="6" t="s">
        <v>12</v>
      </c>
      <c r="C1380" s="7">
        <v>13.02</v>
      </c>
      <c r="D1380" s="7">
        <v>7.7</v>
      </c>
      <c r="E1380" s="8">
        <v>500</v>
      </c>
      <c r="F1380" s="8">
        <v>800</v>
      </c>
      <c r="G1380" s="8">
        <v>3350</v>
      </c>
      <c r="H1380" s="9">
        <f t="shared" ref="H1380:H1408" si="109">E1380+F1380+G1380</f>
        <v>4650</v>
      </c>
      <c r="I1380" s="9">
        <v>0</v>
      </c>
      <c r="J1380" s="9">
        <v>4650</v>
      </c>
      <c r="K1380" s="10">
        <v>5247</v>
      </c>
    </row>
    <row r="1381" spans="1:11" ht="15.75">
      <c r="A1381" s="5">
        <v>45415</v>
      </c>
      <c r="B1381" s="6" t="s">
        <v>12</v>
      </c>
      <c r="C1381" s="7">
        <v>13.09</v>
      </c>
      <c r="D1381" s="7">
        <v>7.95</v>
      </c>
      <c r="E1381" s="8">
        <v>100</v>
      </c>
      <c r="F1381" s="8">
        <v>500</v>
      </c>
      <c r="G1381" s="8">
        <v>3350</v>
      </c>
      <c r="H1381" s="9">
        <f t="shared" si="109"/>
        <v>3950</v>
      </c>
      <c r="I1381" s="9">
        <v>0</v>
      </c>
      <c r="J1381" s="9">
        <v>3950</v>
      </c>
      <c r="K1381" s="10">
        <v>4478</v>
      </c>
    </row>
    <row r="1382" spans="1:11" ht="15.75">
      <c r="A1382" s="5">
        <v>45416</v>
      </c>
      <c r="B1382" s="6" t="s">
        <v>12</v>
      </c>
      <c r="C1382" s="7">
        <v>13.18</v>
      </c>
      <c r="D1382" s="7">
        <v>8.25</v>
      </c>
      <c r="E1382" s="8">
        <v>100</v>
      </c>
      <c r="F1382" s="6">
        <v>500</v>
      </c>
      <c r="G1382" s="8">
        <v>2000</v>
      </c>
      <c r="H1382" s="9">
        <f t="shared" si="109"/>
        <v>2600</v>
      </c>
      <c r="I1382" s="9">
        <v>0</v>
      </c>
      <c r="J1382" s="9">
        <v>2600</v>
      </c>
      <c r="K1382" s="10">
        <v>3284</v>
      </c>
    </row>
    <row r="1383" spans="1:11" ht="15.75">
      <c r="A1383" s="5">
        <v>45417</v>
      </c>
      <c r="B1383" s="6" t="s">
        <v>12</v>
      </c>
      <c r="C1383" s="7">
        <v>13.26</v>
      </c>
      <c r="D1383" s="7">
        <v>8.5</v>
      </c>
      <c r="E1383" s="8">
        <v>100</v>
      </c>
      <c r="F1383" s="6">
        <v>500</v>
      </c>
      <c r="G1383" s="8">
        <v>3350</v>
      </c>
      <c r="H1383" s="9">
        <f t="shared" si="109"/>
        <v>3950</v>
      </c>
      <c r="I1383" s="9">
        <v>0</v>
      </c>
      <c r="J1383" s="9">
        <v>3950</v>
      </c>
      <c r="K1383" s="9">
        <v>4557</v>
      </c>
    </row>
    <row r="1384" spans="1:11" ht="15.75">
      <c r="A1384" s="5">
        <v>45418</v>
      </c>
      <c r="B1384" s="6" t="s">
        <v>12</v>
      </c>
      <c r="C1384" s="7">
        <v>13.31</v>
      </c>
      <c r="D1384" s="7">
        <v>8.65</v>
      </c>
      <c r="E1384" s="8">
        <v>100</v>
      </c>
      <c r="F1384" s="6">
        <v>500</v>
      </c>
      <c r="G1384" s="8">
        <v>3350</v>
      </c>
      <c r="H1384" s="9">
        <f t="shared" si="109"/>
        <v>3950</v>
      </c>
      <c r="I1384" s="9">
        <v>0</v>
      </c>
      <c r="J1384" s="9">
        <v>3950</v>
      </c>
      <c r="K1384" s="10">
        <v>4330</v>
      </c>
    </row>
    <row r="1385" spans="1:11" ht="15.75">
      <c r="A1385" s="5">
        <v>45419</v>
      </c>
      <c r="B1385" s="6" t="s">
        <v>12</v>
      </c>
      <c r="C1385" s="7">
        <v>13.35</v>
      </c>
      <c r="D1385" s="7">
        <v>8.8000000000000007</v>
      </c>
      <c r="E1385" s="8">
        <v>100</v>
      </c>
      <c r="F1385" s="6">
        <v>500</v>
      </c>
      <c r="G1385" s="8">
        <v>3350</v>
      </c>
      <c r="H1385" s="9">
        <f t="shared" si="109"/>
        <v>3950</v>
      </c>
      <c r="I1385" s="9">
        <v>0</v>
      </c>
      <c r="J1385" s="9">
        <v>3950</v>
      </c>
      <c r="K1385" s="10">
        <v>4254</v>
      </c>
    </row>
    <row r="1386" spans="1:11" ht="15.75">
      <c r="A1386" s="5">
        <v>45420</v>
      </c>
      <c r="B1386" s="6" t="s">
        <v>12</v>
      </c>
      <c r="C1386" s="7">
        <v>13.49</v>
      </c>
      <c r="D1386" s="7">
        <v>9.25</v>
      </c>
      <c r="E1386" s="8">
        <v>100</v>
      </c>
      <c r="F1386" s="6">
        <v>500</v>
      </c>
      <c r="G1386" s="8">
        <v>2500</v>
      </c>
      <c r="H1386" s="9">
        <f t="shared" si="109"/>
        <v>3100</v>
      </c>
      <c r="I1386" s="9">
        <v>0</v>
      </c>
      <c r="J1386" s="9">
        <v>3100</v>
      </c>
      <c r="K1386" s="10">
        <v>4181</v>
      </c>
    </row>
    <row r="1387" spans="1:11" ht="15.75">
      <c r="A1387" s="5">
        <v>45421</v>
      </c>
      <c r="B1387" s="6" t="s">
        <v>12</v>
      </c>
      <c r="C1387" s="7">
        <v>13.53</v>
      </c>
      <c r="D1387" s="7">
        <v>9.4</v>
      </c>
      <c r="E1387" s="8">
        <v>100</v>
      </c>
      <c r="F1387" s="6">
        <v>500</v>
      </c>
      <c r="G1387" s="8">
        <v>2500</v>
      </c>
      <c r="H1387" s="9">
        <f t="shared" si="109"/>
        <v>3100</v>
      </c>
      <c r="I1387" s="9">
        <v>0</v>
      </c>
      <c r="J1387" s="9">
        <v>3100</v>
      </c>
      <c r="K1387" s="10">
        <v>3409</v>
      </c>
    </row>
    <row r="1388" spans="1:11" ht="15.75">
      <c r="A1388" s="5">
        <v>45422</v>
      </c>
      <c r="B1388" s="6" t="s">
        <v>12</v>
      </c>
      <c r="C1388" s="7">
        <v>13.58</v>
      </c>
      <c r="D1388" s="7">
        <v>9.5500000000000007</v>
      </c>
      <c r="E1388" s="8">
        <v>100</v>
      </c>
      <c r="F1388" s="6">
        <v>500</v>
      </c>
      <c r="G1388" s="8">
        <v>2500</v>
      </c>
      <c r="H1388" s="9">
        <f t="shared" si="109"/>
        <v>3100</v>
      </c>
      <c r="I1388" s="9">
        <v>0</v>
      </c>
      <c r="J1388" s="9">
        <v>3100</v>
      </c>
      <c r="K1388" s="9">
        <v>3485</v>
      </c>
    </row>
    <row r="1389" spans="1:11" ht="15.75">
      <c r="A1389" s="5">
        <v>45423</v>
      </c>
      <c r="B1389" s="6" t="s">
        <v>12</v>
      </c>
      <c r="C1389" s="7">
        <v>13.66</v>
      </c>
      <c r="D1389" s="7">
        <v>9.8000000000000007</v>
      </c>
      <c r="E1389" s="8">
        <v>0</v>
      </c>
      <c r="F1389" s="6">
        <v>0</v>
      </c>
      <c r="G1389" s="8">
        <v>0</v>
      </c>
      <c r="H1389" s="9">
        <f t="shared" si="109"/>
        <v>0</v>
      </c>
      <c r="I1389" s="9">
        <v>0</v>
      </c>
      <c r="J1389" s="9">
        <v>0</v>
      </c>
      <c r="K1389" s="10">
        <v>3582</v>
      </c>
    </row>
    <row r="1390" spans="1:11" ht="15.75">
      <c r="A1390" s="5">
        <v>45424</v>
      </c>
      <c r="B1390" s="6" t="s">
        <v>12</v>
      </c>
      <c r="C1390" s="7">
        <v>13.75</v>
      </c>
      <c r="D1390" s="7">
        <v>10.1</v>
      </c>
      <c r="E1390" s="8">
        <v>0</v>
      </c>
      <c r="F1390" s="6">
        <v>0</v>
      </c>
      <c r="G1390" s="8">
        <v>0</v>
      </c>
      <c r="H1390" s="9">
        <f t="shared" si="109"/>
        <v>0</v>
      </c>
      <c r="I1390" s="9">
        <v>0</v>
      </c>
      <c r="J1390" s="9">
        <v>0</v>
      </c>
      <c r="K1390" s="9">
        <v>3804</v>
      </c>
    </row>
    <row r="1391" spans="1:11" ht="15.75">
      <c r="A1391" s="5">
        <v>45425</v>
      </c>
      <c r="B1391" s="6" t="s">
        <v>12</v>
      </c>
      <c r="C1391" s="7">
        <v>13.9</v>
      </c>
      <c r="D1391" s="7">
        <v>10.6</v>
      </c>
      <c r="E1391" s="8">
        <v>0</v>
      </c>
      <c r="F1391" s="6">
        <v>0</v>
      </c>
      <c r="G1391" s="8">
        <v>0</v>
      </c>
      <c r="H1391" s="9">
        <f t="shared" si="109"/>
        <v>0</v>
      </c>
      <c r="I1391" s="9">
        <v>0</v>
      </c>
      <c r="J1391" s="9">
        <v>0</v>
      </c>
      <c r="K1391" s="10">
        <v>4165</v>
      </c>
    </row>
    <row r="1392" spans="1:11" ht="15.75">
      <c r="A1392" s="5">
        <v>45426</v>
      </c>
      <c r="B1392" s="6" t="s">
        <v>12</v>
      </c>
      <c r="C1392" s="7">
        <v>13.99</v>
      </c>
      <c r="D1392" s="7">
        <v>10.9</v>
      </c>
      <c r="E1392" s="8">
        <v>0</v>
      </c>
      <c r="F1392" s="6">
        <v>0</v>
      </c>
      <c r="G1392" s="6">
        <v>0</v>
      </c>
      <c r="H1392" s="9">
        <f t="shared" si="109"/>
        <v>0</v>
      </c>
      <c r="I1392" s="9">
        <v>0</v>
      </c>
      <c r="J1392" s="9">
        <v>0</v>
      </c>
      <c r="K1392" s="10">
        <v>3249</v>
      </c>
    </row>
    <row r="1393" spans="1:11" ht="15.75">
      <c r="A1393" s="5">
        <v>45427</v>
      </c>
      <c r="B1393" s="6" t="s">
        <v>12</v>
      </c>
      <c r="C1393" s="7">
        <v>13.99</v>
      </c>
      <c r="D1393" s="7">
        <v>10.9</v>
      </c>
      <c r="E1393" s="8">
        <v>0</v>
      </c>
      <c r="F1393" s="6">
        <v>0</v>
      </c>
      <c r="G1393" s="6">
        <v>0</v>
      </c>
      <c r="H1393" s="9">
        <f t="shared" si="109"/>
        <v>0</v>
      </c>
      <c r="I1393" s="9">
        <v>0</v>
      </c>
      <c r="J1393" s="9">
        <v>0</v>
      </c>
      <c r="K1393" s="9">
        <v>2475</v>
      </c>
    </row>
    <row r="1394" spans="1:11" ht="15.75">
      <c r="A1394" s="5">
        <v>45428</v>
      </c>
      <c r="B1394" s="6" t="s">
        <v>12</v>
      </c>
      <c r="C1394" s="7">
        <v>13.99</v>
      </c>
      <c r="D1394" s="7">
        <v>10.9</v>
      </c>
      <c r="E1394" s="8">
        <v>0</v>
      </c>
      <c r="F1394" s="6">
        <v>0</v>
      </c>
      <c r="G1394" s="6">
        <v>0</v>
      </c>
      <c r="H1394" s="9">
        <f t="shared" si="109"/>
        <v>0</v>
      </c>
      <c r="I1394" s="9">
        <v>1920</v>
      </c>
      <c r="J1394" s="9">
        <v>1920</v>
      </c>
      <c r="K1394" s="10">
        <v>1920</v>
      </c>
    </row>
    <row r="1395" spans="1:11" ht="15.75">
      <c r="A1395" s="5">
        <v>45429</v>
      </c>
      <c r="B1395" s="6" t="s">
        <v>12</v>
      </c>
      <c r="C1395" s="7">
        <v>13.99</v>
      </c>
      <c r="D1395" s="7">
        <v>10.9</v>
      </c>
      <c r="E1395" s="8">
        <v>0</v>
      </c>
      <c r="F1395" s="6">
        <v>0</v>
      </c>
      <c r="G1395" s="6">
        <v>0</v>
      </c>
      <c r="H1395" s="9">
        <f t="shared" si="109"/>
        <v>0</v>
      </c>
      <c r="I1395" s="9">
        <v>2875</v>
      </c>
      <c r="J1395" s="9">
        <v>2875</v>
      </c>
      <c r="K1395" s="10">
        <v>2875</v>
      </c>
    </row>
    <row r="1396" spans="1:11" ht="15.75">
      <c r="A1396" s="5">
        <v>45430</v>
      </c>
      <c r="B1396" s="6" t="s">
        <v>12</v>
      </c>
      <c r="C1396" s="7">
        <v>13.99</v>
      </c>
      <c r="D1396" s="7">
        <v>10.9</v>
      </c>
      <c r="E1396" s="8">
        <v>0</v>
      </c>
      <c r="F1396" s="6">
        <v>0</v>
      </c>
      <c r="G1396" s="6">
        <v>0</v>
      </c>
      <c r="H1396" s="9">
        <f t="shared" si="109"/>
        <v>0</v>
      </c>
      <c r="I1396" s="9">
        <v>2875</v>
      </c>
      <c r="J1396" s="9">
        <v>2875</v>
      </c>
      <c r="K1396" s="9">
        <v>2875</v>
      </c>
    </row>
    <row r="1397" spans="1:11" ht="15.75">
      <c r="A1397" s="5">
        <v>45431</v>
      </c>
      <c r="B1397" s="6" t="s">
        <v>12</v>
      </c>
      <c r="C1397" s="7">
        <v>13.99</v>
      </c>
      <c r="D1397" s="7">
        <v>10.9</v>
      </c>
      <c r="E1397" s="8">
        <v>0</v>
      </c>
      <c r="F1397" s="6">
        <v>0</v>
      </c>
      <c r="G1397" s="6">
        <v>0</v>
      </c>
      <c r="H1397" s="9">
        <f t="shared" si="109"/>
        <v>0</v>
      </c>
      <c r="I1397" s="9">
        <v>3515</v>
      </c>
      <c r="J1397" s="9">
        <v>3515</v>
      </c>
      <c r="K1397" s="10">
        <v>3515</v>
      </c>
    </row>
    <row r="1398" spans="1:11" ht="15.75">
      <c r="A1398" s="5">
        <v>45432</v>
      </c>
      <c r="B1398" s="6" t="s">
        <v>12</v>
      </c>
      <c r="C1398" s="7">
        <v>13.99</v>
      </c>
      <c r="D1398" s="7">
        <v>10.9</v>
      </c>
      <c r="E1398" s="8">
        <v>0</v>
      </c>
      <c r="F1398" s="6">
        <v>0</v>
      </c>
      <c r="G1398" s="6">
        <v>0</v>
      </c>
      <c r="H1398" s="9">
        <f t="shared" si="109"/>
        <v>0</v>
      </c>
      <c r="I1398" s="9">
        <v>6035</v>
      </c>
      <c r="J1398" s="9">
        <v>6035</v>
      </c>
      <c r="K1398" s="9">
        <v>6035</v>
      </c>
    </row>
    <row r="1399" spans="1:11" ht="15.75">
      <c r="A1399" s="5">
        <v>45433</v>
      </c>
      <c r="B1399" s="6" t="s">
        <v>12</v>
      </c>
      <c r="C1399" s="7">
        <v>13.99</v>
      </c>
      <c r="D1399" s="7">
        <v>10.9</v>
      </c>
      <c r="E1399" s="8">
        <v>0</v>
      </c>
      <c r="F1399" s="6">
        <v>0</v>
      </c>
      <c r="G1399" s="6">
        <v>0</v>
      </c>
      <c r="H1399" s="9">
        <f t="shared" si="109"/>
        <v>0</v>
      </c>
      <c r="I1399" s="9">
        <v>6031</v>
      </c>
      <c r="J1399" s="9">
        <v>6031</v>
      </c>
      <c r="K1399" s="9">
        <v>6031</v>
      </c>
    </row>
    <row r="1400" spans="1:11" ht="15.75">
      <c r="A1400" s="5">
        <v>45434</v>
      </c>
      <c r="B1400" s="6" t="s">
        <v>12</v>
      </c>
      <c r="C1400" s="7">
        <v>13.99</v>
      </c>
      <c r="D1400" s="7">
        <v>10.9</v>
      </c>
      <c r="E1400" s="8">
        <v>0</v>
      </c>
      <c r="F1400" s="6">
        <v>0</v>
      </c>
      <c r="G1400" s="6">
        <v>0</v>
      </c>
      <c r="H1400" s="9">
        <f t="shared" si="109"/>
        <v>0</v>
      </c>
      <c r="I1400" s="9">
        <v>6020</v>
      </c>
      <c r="J1400" s="9">
        <v>6020</v>
      </c>
      <c r="K1400" s="9">
        <v>6020</v>
      </c>
    </row>
    <row r="1401" spans="1:11" ht="15.75">
      <c r="A1401" s="5">
        <v>45435</v>
      </c>
      <c r="B1401" s="6" t="s">
        <v>12</v>
      </c>
      <c r="C1401" s="7">
        <v>13.99</v>
      </c>
      <c r="D1401" s="7">
        <v>10.9</v>
      </c>
      <c r="E1401" s="8">
        <v>0</v>
      </c>
      <c r="F1401" s="6">
        <v>0</v>
      </c>
      <c r="G1401" s="6">
        <v>0</v>
      </c>
      <c r="H1401" s="9">
        <f t="shared" si="109"/>
        <v>0</v>
      </c>
      <c r="I1401" s="9">
        <v>6007</v>
      </c>
      <c r="J1401" s="9">
        <v>6007</v>
      </c>
      <c r="K1401" s="9">
        <v>6007</v>
      </c>
    </row>
    <row r="1402" spans="1:11" ht="15.75">
      <c r="A1402" s="5">
        <v>45436</v>
      </c>
      <c r="B1402" s="6" t="s">
        <v>12</v>
      </c>
      <c r="C1402" s="7">
        <v>13.99</v>
      </c>
      <c r="D1402" s="7">
        <v>10.9</v>
      </c>
      <c r="E1402" s="8">
        <v>0</v>
      </c>
      <c r="F1402" s="6">
        <v>0</v>
      </c>
      <c r="G1402" s="6">
        <v>0</v>
      </c>
      <c r="H1402" s="9">
        <f t="shared" si="109"/>
        <v>0</v>
      </c>
      <c r="I1402" s="9">
        <v>3489</v>
      </c>
      <c r="J1402" s="9">
        <v>3489</v>
      </c>
      <c r="K1402" s="9">
        <v>3489</v>
      </c>
    </row>
    <row r="1403" spans="1:11" ht="15.75">
      <c r="A1403" s="5">
        <v>45437</v>
      </c>
      <c r="B1403" s="6" t="s">
        <v>12</v>
      </c>
      <c r="C1403" s="7">
        <v>13.99</v>
      </c>
      <c r="D1403" s="7">
        <v>10.9</v>
      </c>
      <c r="E1403" s="8">
        <v>0</v>
      </c>
      <c r="F1403" s="6">
        <v>0</v>
      </c>
      <c r="G1403" s="6">
        <v>0</v>
      </c>
      <c r="H1403" s="9">
        <f t="shared" si="109"/>
        <v>0</v>
      </c>
      <c r="I1403" s="9">
        <v>3508</v>
      </c>
      <c r="J1403" s="9">
        <v>3508</v>
      </c>
      <c r="K1403" s="9">
        <v>3508</v>
      </c>
    </row>
    <row r="1404" spans="1:11" ht="15.75">
      <c r="A1404" s="5">
        <v>45438</v>
      </c>
      <c r="B1404" s="6" t="s">
        <v>12</v>
      </c>
      <c r="C1404" s="7">
        <v>13.99</v>
      </c>
      <c r="D1404" s="7">
        <v>10.9</v>
      </c>
      <c r="E1404" s="8">
        <v>0</v>
      </c>
      <c r="F1404" s="6">
        <v>0</v>
      </c>
      <c r="G1404" s="6">
        <v>0</v>
      </c>
      <c r="H1404" s="9">
        <f t="shared" si="109"/>
        <v>0</v>
      </c>
      <c r="I1404" s="9">
        <v>3515</v>
      </c>
      <c r="J1404" s="9">
        <v>3515</v>
      </c>
      <c r="K1404" s="9">
        <v>3515</v>
      </c>
    </row>
    <row r="1405" spans="1:11" ht="15.75">
      <c r="A1405" s="5">
        <v>45439</v>
      </c>
      <c r="B1405" s="6" t="s">
        <v>12</v>
      </c>
      <c r="C1405" s="7">
        <v>13.99</v>
      </c>
      <c r="D1405" s="7">
        <v>10.9</v>
      </c>
      <c r="E1405" s="8">
        <v>0</v>
      </c>
      <c r="F1405" s="6">
        <v>0</v>
      </c>
      <c r="G1405" s="6">
        <v>0</v>
      </c>
      <c r="H1405" s="9">
        <f t="shared" si="109"/>
        <v>0</v>
      </c>
      <c r="I1405" s="9">
        <v>5435</v>
      </c>
      <c r="J1405" s="9">
        <v>5435</v>
      </c>
      <c r="K1405" s="9">
        <v>5435</v>
      </c>
    </row>
    <row r="1406" spans="1:11" ht="15.75">
      <c r="A1406" s="5">
        <v>45440</v>
      </c>
      <c r="B1406" s="6" t="s">
        <v>12</v>
      </c>
      <c r="C1406" s="7">
        <v>13.99</v>
      </c>
      <c r="D1406" s="7">
        <v>10.9</v>
      </c>
      <c r="E1406" s="8">
        <v>0</v>
      </c>
      <c r="F1406" s="6">
        <v>0</v>
      </c>
      <c r="G1406" s="6">
        <v>0</v>
      </c>
      <c r="H1406" s="9">
        <f t="shared" si="109"/>
        <v>0</v>
      </c>
      <c r="I1406" s="9">
        <v>7294</v>
      </c>
      <c r="J1406" s="9">
        <v>7294</v>
      </c>
      <c r="K1406" s="9">
        <v>7294</v>
      </c>
    </row>
    <row r="1407" spans="1:11" ht="15.75">
      <c r="A1407" s="5">
        <v>45441</v>
      </c>
      <c r="B1407" s="6" t="s">
        <v>12</v>
      </c>
      <c r="C1407" s="7">
        <v>13.98</v>
      </c>
      <c r="D1407" s="7">
        <v>10.85</v>
      </c>
      <c r="E1407" s="8">
        <v>0</v>
      </c>
      <c r="F1407" s="6">
        <v>0</v>
      </c>
      <c r="G1407" s="6">
        <v>0</v>
      </c>
      <c r="H1407" s="9">
        <f t="shared" si="109"/>
        <v>0</v>
      </c>
      <c r="I1407" s="9">
        <v>7874</v>
      </c>
      <c r="J1407" s="9">
        <v>7874</v>
      </c>
      <c r="K1407" s="9">
        <v>7720</v>
      </c>
    </row>
    <row r="1408" spans="1:11" ht="15.75">
      <c r="A1408" s="5">
        <v>45442</v>
      </c>
      <c r="B1408" s="6" t="s">
        <v>12</v>
      </c>
      <c r="C1408" s="7">
        <v>13.96</v>
      </c>
      <c r="D1408" s="7">
        <v>10.8</v>
      </c>
      <c r="E1408" s="8">
        <v>0</v>
      </c>
      <c r="F1408" s="6">
        <v>0</v>
      </c>
      <c r="G1408" s="6">
        <v>0</v>
      </c>
      <c r="H1408" s="9">
        <f t="shared" si="109"/>
        <v>0</v>
      </c>
      <c r="I1408" s="9">
        <v>5381</v>
      </c>
      <c r="J1408" s="9">
        <v>5381</v>
      </c>
      <c r="K1408" s="9">
        <v>5303</v>
      </c>
    </row>
    <row r="1409" spans="1:11" ht="15.75">
      <c r="A1409" s="5">
        <v>45443</v>
      </c>
      <c r="B1409" s="6" t="s">
        <v>12</v>
      </c>
      <c r="C1409" s="7">
        <v>13.99</v>
      </c>
      <c r="D1409" s="7">
        <v>10.9</v>
      </c>
      <c r="E1409" s="8">
        <v>0</v>
      </c>
      <c r="F1409" s="8">
        <v>0</v>
      </c>
      <c r="G1409" s="8">
        <v>0</v>
      </c>
      <c r="H1409" s="9">
        <v>0</v>
      </c>
      <c r="I1409" s="9">
        <v>3195</v>
      </c>
      <c r="J1409" s="9">
        <v>3195</v>
      </c>
      <c r="K1409" s="9">
        <v>3427</v>
      </c>
    </row>
    <row r="1410" spans="1:11" ht="15.75">
      <c r="A1410" s="2" t="s">
        <v>13</v>
      </c>
      <c r="B1410" s="2"/>
      <c r="C1410" s="2"/>
      <c r="D1410" s="2"/>
      <c r="E1410" s="11">
        <f>SUM(E1379:E1408)</f>
        <v>2300</v>
      </c>
      <c r="F1410" s="11">
        <f>SUM(F1379:F1408)</f>
        <v>5600</v>
      </c>
      <c r="G1410" s="11">
        <f>SUM(G1379:G1408)</f>
        <v>29600</v>
      </c>
      <c r="H1410" s="11">
        <f>SUM(H1379:H1408)</f>
        <v>37500</v>
      </c>
      <c r="I1410" s="11">
        <f>SUM(I1379:I1409)</f>
        <v>74969</v>
      </c>
      <c r="J1410" s="11">
        <f>SUM(J1379:J1409)</f>
        <v>112469</v>
      </c>
      <c r="K1410" s="11">
        <f>SUM(K1379:K1409)</f>
        <v>134992</v>
      </c>
    </row>
    <row r="1411" spans="1:11" ht="15.75">
      <c r="A1411" s="12"/>
      <c r="B1411" s="2"/>
      <c r="C1411" s="2"/>
      <c r="D1411" s="2"/>
      <c r="E1411" s="13">
        <f t="shared" ref="E1411:K1411" si="110">SUM(E1410/11575)</f>
        <v>0.19870410367170627</v>
      </c>
      <c r="F1411" s="13">
        <f t="shared" si="110"/>
        <v>0.48380129589632831</v>
      </c>
      <c r="G1411" s="13">
        <f t="shared" si="110"/>
        <v>2.5572354211663066</v>
      </c>
      <c r="H1411" s="13">
        <f t="shared" si="110"/>
        <v>3.2397408207343412</v>
      </c>
      <c r="I1411" s="13">
        <f t="shared" si="110"/>
        <v>6.4768034557235419</v>
      </c>
      <c r="J1411" s="13">
        <f t="shared" si="110"/>
        <v>9.7165442764578831</v>
      </c>
      <c r="K1411" s="13">
        <f t="shared" si="110"/>
        <v>11.662375809935206</v>
      </c>
    </row>
    <row r="1412" spans="1:11" ht="15.75">
      <c r="A1412" s="1" t="s">
        <v>61</v>
      </c>
      <c r="B1412" s="1"/>
      <c r="C1412" s="1"/>
      <c r="D1412" s="1"/>
      <c r="E1412" s="1"/>
      <c r="F1412" s="1"/>
      <c r="G1412" s="1"/>
      <c r="H1412" s="1"/>
      <c r="I1412" s="1"/>
      <c r="J1412" s="1"/>
      <c r="K1412" s="1"/>
    </row>
    <row r="1413" spans="1:11" ht="47.25">
      <c r="A1413" s="2" t="s">
        <v>1</v>
      </c>
      <c r="B1413" s="2" t="s">
        <v>2</v>
      </c>
      <c r="C1413" s="3" t="s">
        <v>18</v>
      </c>
      <c r="D1413" s="3" t="s">
        <v>4</v>
      </c>
      <c r="E1413" s="3" t="s">
        <v>5</v>
      </c>
      <c r="F1413" s="3" t="s">
        <v>6</v>
      </c>
      <c r="G1413" s="3" t="s">
        <v>7</v>
      </c>
      <c r="H1413" s="3" t="s">
        <v>8</v>
      </c>
      <c r="I1413" s="3" t="s">
        <v>9</v>
      </c>
      <c r="J1413" s="3" t="s">
        <v>19</v>
      </c>
      <c r="K1413" s="4" t="s">
        <v>11</v>
      </c>
    </row>
    <row r="1414" spans="1:11" ht="15.75">
      <c r="A1414" s="5">
        <v>45444</v>
      </c>
      <c r="B1414" s="6" t="s">
        <v>12</v>
      </c>
      <c r="C1414" s="7">
        <v>13.99</v>
      </c>
      <c r="D1414" s="7">
        <v>10.9</v>
      </c>
      <c r="E1414" s="8">
        <v>500</v>
      </c>
      <c r="F1414" s="8">
        <v>500</v>
      </c>
      <c r="G1414" s="8">
        <v>1500</v>
      </c>
      <c r="H1414" s="14">
        <f>E1414+F1414+G1414</f>
        <v>2500</v>
      </c>
      <c r="I1414" s="9">
        <v>3197</v>
      </c>
      <c r="J1414" s="9">
        <v>5697</v>
      </c>
      <c r="K1414" s="10">
        <v>5697</v>
      </c>
    </row>
    <row r="1415" spans="1:11" ht="15.75">
      <c r="A1415" s="5">
        <v>45445</v>
      </c>
      <c r="B1415" s="6" t="s">
        <v>12</v>
      </c>
      <c r="C1415" s="7">
        <v>13.99</v>
      </c>
      <c r="D1415" s="7">
        <v>10.9</v>
      </c>
      <c r="E1415" s="8">
        <v>500</v>
      </c>
      <c r="F1415" s="8">
        <v>500</v>
      </c>
      <c r="G1415" s="8">
        <v>1500</v>
      </c>
      <c r="H1415" s="9">
        <f t="shared" ref="H1415:H1443" si="111">E1415+F1415+G1415</f>
        <v>2500</v>
      </c>
      <c r="I1415" s="9">
        <v>3197</v>
      </c>
      <c r="J1415" s="9">
        <v>5697</v>
      </c>
      <c r="K1415" s="10">
        <v>5697</v>
      </c>
    </row>
    <row r="1416" spans="1:11" ht="15.75">
      <c r="A1416" s="5">
        <v>45446</v>
      </c>
      <c r="B1416" s="6" t="s">
        <v>12</v>
      </c>
      <c r="C1416" s="7">
        <v>13.99</v>
      </c>
      <c r="D1416" s="7">
        <v>10.9</v>
      </c>
      <c r="E1416" s="8">
        <v>500</v>
      </c>
      <c r="F1416" s="8">
        <v>500</v>
      </c>
      <c r="G1416" s="8">
        <v>1500</v>
      </c>
      <c r="H1416" s="9">
        <f t="shared" si="111"/>
        <v>2500</v>
      </c>
      <c r="I1416" s="9">
        <v>3197</v>
      </c>
      <c r="J1416" s="9">
        <v>5697</v>
      </c>
      <c r="K1416" s="10">
        <v>5697</v>
      </c>
    </row>
    <row r="1417" spans="1:11" ht="15.75">
      <c r="A1417" s="5">
        <v>45447</v>
      </c>
      <c r="B1417" s="6" t="s">
        <v>12</v>
      </c>
      <c r="C1417" s="7">
        <v>13.99</v>
      </c>
      <c r="D1417" s="7">
        <v>10.9</v>
      </c>
      <c r="E1417" s="8">
        <v>600</v>
      </c>
      <c r="F1417" s="6">
        <v>600</v>
      </c>
      <c r="G1417" s="8">
        <v>1700</v>
      </c>
      <c r="H1417" s="9">
        <f t="shared" si="111"/>
        <v>2900</v>
      </c>
      <c r="I1417" s="9">
        <v>5757</v>
      </c>
      <c r="J1417" s="9">
        <v>8657</v>
      </c>
      <c r="K1417" s="10">
        <v>8657</v>
      </c>
    </row>
    <row r="1418" spans="1:11" ht="15.75">
      <c r="A1418" s="5">
        <v>45448</v>
      </c>
      <c r="B1418" s="6" t="s">
        <v>12</v>
      </c>
      <c r="C1418" s="7">
        <v>13.99</v>
      </c>
      <c r="D1418" s="7">
        <v>10.9</v>
      </c>
      <c r="E1418" s="8">
        <v>600</v>
      </c>
      <c r="F1418" s="6">
        <v>600</v>
      </c>
      <c r="G1418" s="8">
        <v>1700</v>
      </c>
      <c r="H1418" s="9">
        <f t="shared" si="111"/>
        <v>2900</v>
      </c>
      <c r="I1418" s="9">
        <v>4456</v>
      </c>
      <c r="J1418" s="9">
        <v>7356</v>
      </c>
      <c r="K1418" s="9">
        <v>7356</v>
      </c>
    </row>
    <row r="1419" spans="1:11" ht="15.75">
      <c r="A1419" s="5">
        <v>45449</v>
      </c>
      <c r="B1419" s="6" t="s">
        <v>12</v>
      </c>
      <c r="C1419" s="7">
        <v>13.97</v>
      </c>
      <c r="D1419" s="7">
        <v>10.9</v>
      </c>
      <c r="E1419" s="8">
        <v>600</v>
      </c>
      <c r="F1419" s="6">
        <v>600</v>
      </c>
      <c r="G1419" s="8">
        <v>3000</v>
      </c>
      <c r="H1419" s="9">
        <f t="shared" si="111"/>
        <v>4200</v>
      </c>
      <c r="I1419" s="9">
        <v>3173</v>
      </c>
      <c r="J1419" s="9">
        <v>7373</v>
      </c>
      <c r="K1419" s="10">
        <v>7219</v>
      </c>
    </row>
    <row r="1420" spans="1:11" ht="15.75">
      <c r="A1420" s="5">
        <v>45450</v>
      </c>
      <c r="B1420" s="6" t="s">
        <v>12</v>
      </c>
      <c r="C1420" s="7">
        <v>13.96</v>
      </c>
      <c r="D1420" s="7">
        <v>10.8</v>
      </c>
      <c r="E1420" s="8">
        <v>600</v>
      </c>
      <c r="F1420" s="6">
        <v>1000</v>
      </c>
      <c r="G1420" s="8">
        <v>3000</v>
      </c>
      <c r="H1420" s="9">
        <f t="shared" si="111"/>
        <v>4600</v>
      </c>
      <c r="I1420" s="9">
        <v>3144</v>
      </c>
      <c r="J1420" s="9">
        <v>7744</v>
      </c>
      <c r="K1420" s="10">
        <v>7666</v>
      </c>
    </row>
    <row r="1421" spans="1:11" ht="15.75">
      <c r="A1421" s="5">
        <v>45451</v>
      </c>
      <c r="B1421" s="6" t="s">
        <v>12</v>
      </c>
      <c r="C1421" s="7">
        <v>13.9</v>
      </c>
      <c r="D1421" s="7">
        <v>10.6</v>
      </c>
      <c r="E1421" s="8">
        <v>1000</v>
      </c>
      <c r="F1421" s="6">
        <v>1000</v>
      </c>
      <c r="G1421" s="8">
        <v>4000</v>
      </c>
      <c r="H1421" s="9">
        <f t="shared" si="111"/>
        <v>6000</v>
      </c>
      <c r="I1421" s="9">
        <v>3134</v>
      </c>
      <c r="J1421" s="9">
        <v>9134</v>
      </c>
      <c r="K1421" s="10">
        <v>8671</v>
      </c>
    </row>
    <row r="1422" spans="1:11" ht="15.75">
      <c r="A1422" s="5">
        <v>45452</v>
      </c>
      <c r="B1422" s="6" t="s">
        <v>12</v>
      </c>
      <c r="C1422" s="7">
        <v>13.89</v>
      </c>
      <c r="D1422" s="7">
        <v>10.55</v>
      </c>
      <c r="E1422" s="8">
        <v>1500</v>
      </c>
      <c r="F1422" s="6">
        <v>1000</v>
      </c>
      <c r="G1422" s="8">
        <v>4000</v>
      </c>
      <c r="H1422" s="9">
        <f t="shared" si="111"/>
        <v>6500</v>
      </c>
      <c r="I1422" s="9">
        <v>1254</v>
      </c>
      <c r="J1422" s="9">
        <v>7754</v>
      </c>
      <c r="K1422" s="10">
        <v>7676</v>
      </c>
    </row>
    <row r="1423" spans="1:11" ht="15.75">
      <c r="A1423" s="5">
        <v>45453</v>
      </c>
      <c r="B1423" s="6" t="s">
        <v>12</v>
      </c>
      <c r="C1423" s="7">
        <v>13.79</v>
      </c>
      <c r="D1423" s="7">
        <v>10.25</v>
      </c>
      <c r="E1423" s="8">
        <v>2500</v>
      </c>
      <c r="F1423" s="6">
        <v>1500</v>
      </c>
      <c r="G1423" s="8">
        <v>4000</v>
      </c>
      <c r="H1423" s="9">
        <f t="shared" si="111"/>
        <v>8000</v>
      </c>
      <c r="I1423" s="9">
        <v>0</v>
      </c>
      <c r="J1423" s="9">
        <v>8000</v>
      </c>
      <c r="K1423" s="9">
        <v>7229</v>
      </c>
    </row>
    <row r="1424" spans="1:11" ht="15.75">
      <c r="A1424" s="5">
        <v>45454</v>
      </c>
      <c r="B1424" s="6" t="s">
        <v>12</v>
      </c>
      <c r="C1424" s="7">
        <v>13.69</v>
      </c>
      <c r="D1424" s="7">
        <v>9.9</v>
      </c>
      <c r="E1424" s="8">
        <v>2500</v>
      </c>
      <c r="F1424" s="6">
        <v>1500</v>
      </c>
      <c r="G1424" s="8">
        <v>4000</v>
      </c>
      <c r="H1424" s="9">
        <f t="shared" si="111"/>
        <v>8000</v>
      </c>
      <c r="I1424" s="9">
        <v>0</v>
      </c>
      <c r="J1424" s="9">
        <v>8000</v>
      </c>
      <c r="K1424" s="10">
        <v>7228</v>
      </c>
    </row>
    <row r="1425" spans="1:11" ht="15.75">
      <c r="A1425" s="5">
        <v>45455</v>
      </c>
      <c r="B1425" s="6" t="s">
        <v>12</v>
      </c>
      <c r="C1425" s="7">
        <v>13.67</v>
      </c>
      <c r="D1425" s="7">
        <v>9.85</v>
      </c>
      <c r="E1425" s="8">
        <v>2500</v>
      </c>
      <c r="F1425" s="6">
        <v>1500</v>
      </c>
      <c r="G1425" s="8">
        <v>4000</v>
      </c>
      <c r="H1425" s="9">
        <f t="shared" si="111"/>
        <v>8000</v>
      </c>
      <c r="I1425" s="9">
        <v>0</v>
      </c>
      <c r="J1425" s="9">
        <v>8000</v>
      </c>
      <c r="K1425" s="9">
        <v>7846</v>
      </c>
    </row>
    <row r="1426" spans="1:11" ht="15.75">
      <c r="A1426" s="5">
        <v>45456</v>
      </c>
      <c r="B1426" s="6" t="s">
        <v>12</v>
      </c>
      <c r="C1426" s="7">
        <v>13.63</v>
      </c>
      <c r="D1426" s="7">
        <v>9.6999999999999993</v>
      </c>
      <c r="E1426" s="8">
        <v>2500</v>
      </c>
      <c r="F1426" s="6">
        <v>1500</v>
      </c>
      <c r="G1426" s="8">
        <v>4000</v>
      </c>
      <c r="H1426" s="9">
        <f t="shared" si="111"/>
        <v>8000</v>
      </c>
      <c r="I1426" s="9">
        <v>0</v>
      </c>
      <c r="J1426" s="9">
        <v>8000</v>
      </c>
      <c r="K1426" s="10">
        <v>7691</v>
      </c>
    </row>
    <row r="1427" spans="1:11" ht="15.75">
      <c r="A1427" s="5">
        <v>45457</v>
      </c>
      <c r="B1427" s="6" t="s">
        <v>12</v>
      </c>
      <c r="C1427" s="7">
        <v>13.6</v>
      </c>
      <c r="D1427" s="7">
        <v>9.6</v>
      </c>
      <c r="E1427" s="8">
        <v>2500</v>
      </c>
      <c r="F1427" s="6">
        <v>1700</v>
      </c>
      <c r="G1427" s="6">
        <v>4000</v>
      </c>
      <c r="H1427" s="9">
        <f t="shared" si="111"/>
        <v>8200</v>
      </c>
      <c r="I1427" s="9">
        <v>0</v>
      </c>
      <c r="J1427" s="9">
        <v>8200</v>
      </c>
      <c r="K1427" s="10">
        <v>7968</v>
      </c>
    </row>
    <row r="1428" spans="1:11" ht="15.75">
      <c r="A1428" s="5">
        <v>45458</v>
      </c>
      <c r="B1428" s="6" t="s">
        <v>12</v>
      </c>
      <c r="C1428" s="7">
        <v>13.53</v>
      </c>
      <c r="D1428" s="7">
        <v>9.4</v>
      </c>
      <c r="E1428" s="8">
        <v>2500</v>
      </c>
      <c r="F1428" s="6">
        <v>1700</v>
      </c>
      <c r="G1428" s="6">
        <v>4000</v>
      </c>
      <c r="H1428" s="9">
        <f t="shared" si="111"/>
        <v>8200</v>
      </c>
      <c r="I1428" s="9">
        <v>0</v>
      </c>
      <c r="J1428" s="9">
        <v>8200</v>
      </c>
      <c r="K1428" s="9">
        <v>7661</v>
      </c>
    </row>
    <row r="1429" spans="1:11" ht="15.75">
      <c r="A1429" s="5">
        <v>45459</v>
      </c>
      <c r="B1429" s="6" t="s">
        <v>12</v>
      </c>
      <c r="C1429" s="7">
        <v>13.5</v>
      </c>
      <c r="D1429" s="7">
        <v>9.3000000000000007</v>
      </c>
      <c r="E1429" s="8">
        <v>2500</v>
      </c>
      <c r="F1429" s="6">
        <v>1500</v>
      </c>
      <c r="G1429" s="6">
        <v>4000</v>
      </c>
      <c r="H1429" s="9">
        <f t="shared" si="111"/>
        <v>8000</v>
      </c>
      <c r="I1429" s="9">
        <v>0</v>
      </c>
      <c r="J1429" s="9">
        <v>8200</v>
      </c>
      <c r="K1429" s="10">
        <v>7968</v>
      </c>
    </row>
    <row r="1430" spans="1:11" ht="15.75">
      <c r="A1430" s="5">
        <v>45460</v>
      </c>
      <c r="B1430" s="6" t="s">
        <v>12</v>
      </c>
      <c r="C1430" s="7">
        <v>13.44</v>
      </c>
      <c r="D1430" s="7">
        <v>9.1</v>
      </c>
      <c r="E1430" s="8">
        <v>2180</v>
      </c>
      <c r="F1430" s="6">
        <v>1565</v>
      </c>
      <c r="G1430" s="6">
        <v>4100</v>
      </c>
      <c r="H1430" s="9">
        <f t="shared" si="111"/>
        <v>7845</v>
      </c>
      <c r="I1430" s="9">
        <v>0</v>
      </c>
      <c r="J1430" s="9">
        <v>7845</v>
      </c>
      <c r="K1430" s="10">
        <v>7382</v>
      </c>
    </row>
    <row r="1431" spans="1:11" ht="15.75">
      <c r="A1431" s="5">
        <v>45461</v>
      </c>
      <c r="B1431" s="6" t="s">
        <v>12</v>
      </c>
      <c r="C1431" s="7">
        <v>13.41</v>
      </c>
      <c r="D1431" s="7">
        <v>9</v>
      </c>
      <c r="E1431" s="8">
        <v>2180</v>
      </c>
      <c r="F1431" s="6">
        <v>1565</v>
      </c>
      <c r="G1431" s="6">
        <v>4100</v>
      </c>
      <c r="H1431" s="9">
        <f t="shared" si="111"/>
        <v>7845</v>
      </c>
      <c r="I1431" s="9">
        <v>0</v>
      </c>
      <c r="J1431" s="9">
        <v>7845</v>
      </c>
      <c r="K1431" s="9">
        <v>7613</v>
      </c>
    </row>
    <row r="1432" spans="1:11" ht="15.75">
      <c r="A1432" s="5">
        <v>45462</v>
      </c>
      <c r="B1432" s="6" t="s">
        <v>12</v>
      </c>
      <c r="C1432" s="7">
        <v>13.38</v>
      </c>
      <c r="D1432" s="7">
        <v>8.9</v>
      </c>
      <c r="E1432" s="8">
        <v>2180</v>
      </c>
      <c r="F1432" s="6">
        <v>1565</v>
      </c>
      <c r="G1432" s="6">
        <v>4100</v>
      </c>
      <c r="H1432" s="9">
        <f t="shared" si="111"/>
        <v>7845</v>
      </c>
      <c r="I1432" s="9">
        <v>0</v>
      </c>
      <c r="J1432" s="9">
        <v>7845</v>
      </c>
      <c r="K1432" s="10">
        <v>7613</v>
      </c>
    </row>
    <row r="1433" spans="1:11" ht="15.75">
      <c r="A1433" s="5">
        <v>45463</v>
      </c>
      <c r="B1433" s="6" t="s">
        <v>12</v>
      </c>
      <c r="C1433" s="7">
        <v>13.35</v>
      </c>
      <c r="D1433" s="7">
        <v>8.8000000000000007</v>
      </c>
      <c r="E1433" s="8">
        <v>2180</v>
      </c>
      <c r="F1433" s="6">
        <v>1565</v>
      </c>
      <c r="G1433" s="6">
        <v>4100</v>
      </c>
      <c r="H1433" s="9">
        <f t="shared" si="111"/>
        <v>7845</v>
      </c>
      <c r="I1433" s="9">
        <v>0</v>
      </c>
      <c r="J1433" s="9">
        <v>7845</v>
      </c>
      <c r="K1433" s="9">
        <v>7612</v>
      </c>
    </row>
    <row r="1434" spans="1:11" ht="15.75">
      <c r="A1434" s="5">
        <v>45464</v>
      </c>
      <c r="B1434" s="6" t="s">
        <v>12</v>
      </c>
      <c r="C1434" s="7">
        <v>13.35</v>
      </c>
      <c r="D1434" s="7">
        <v>8.8000000000000007</v>
      </c>
      <c r="E1434" s="8">
        <v>2180</v>
      </c>
      <c r="F1434" s="6">
        <v>1565</v>
      </c>
      <c r="G1434" s="6">
        <v>4100</v>
      </c>
      <c r="H1434" s="9">
        <f t="shared" si="111"/>
        <v>7845</v>
      </c>
      <c r="I1434" s="9">
        <v>0</v>
      </c>
      <c r="J1434" s="9">
        <v>7845</v>
      </c>
      <c r="K1434" s="9">
        <v>7845</v>
      </c>
    </row>
    <row r="1435" spans="1:11" ht="15.75">
      <c r="A1435" s="5">
        <v>45465</v>
      </c>
      <c r="B1435" s="6" t="s">
        <v>12</v>
      </c>
      <c r="C1435" s="7">
        <v>13.32</v>
      </c>
      <c r="D1435" s="7">
        <v>8.6999999999999993</v>
      </c>
      <c r="E1435" s="8">
        <v>2290</v>
      </c>
      <c r="F1435" s="6">
        <v>1640</v>
      </c>
      <c r="G1435" s="6">
        <v>4300</v>
      </c>
      <c r="H1435" s="9">
        <f t="shared" si="111"/>
        <v>8230</v>
      </c>
      <c r="I1435" s="9">
        <v>0</v>
      </c>
      <c r="J1435" s="9">
        <v>8230</v>
      </c>
      <c r="K1435" s="9">
        <v>8002</v>
      </c>
    </row>
    <row r="1436" spans="1:11" ht="15.75">
      <c r="A1436" s="5">
        <v>45466</v>
      </c>
      <c r="B1436" s="6" t="s">
        <v>12</v>
      </c>
      <c r="C1436" s="7">
        <v>13.29</v>
      </c>
      <c r="D1436" s="7">
        <v>8.6</v>
      </c>
      <c r="E1436" s="8">
        <v>2290</v>
      </c>
      <c r="F1436" s="6">
        <v>1640</v>
      </c>
      <c r="G1436" s="6">
        <v>4300</v>
      </c>
      <c r="H1436" s="9">
        <f t="shared" si="111"/>
        <v>8230</v>
      </c>
      <c r="I1436" s="9">
        <v>0</v>
      </c>
      <c r="J1436" s="9">
        <v>8230</v>
      </c>
      <c r="K1436" s="9">
        <v>8002</v>
      </c>
    </row>
    <row r="1437" spans="1:11" ht="15.75">
      <c r="A1437" s="5">
        <v>45467</v>
      </c>
      <c r="B1437" s="6" t="s">
        <v>12</v>
      </c>
      <c r="C1437" s="7">
        <v>13.32</v>
      </c>
      <c r="D1437" s="7">
        <v>8.6999999999999993</v>
      </c>
      <c r="E1437" s="8">
        <v>2380</v>
      </c>
      <c r="F1437" s="6">
        <v>1710</v>
      </c>
      <c r="G1437" s="6">
        <v>4500</v>
      </c>
      <c r="H1437" s="9">
        <f t="shared" si="111"/>
        <v>8590</v>
      </c>
      <c r="I1437" s="9">
        <v>0</v>
      </c>
      <c r="J1437" s="9">
        <v>8590</v>
      </c>
      <c r="K1437" s="9">
        <v>8818</v>
      </c>
    </row>
    <row r="1438" spans="1:11" ht="15.75">
      <c r="A1438" s="5">
        <v>45468</v>
      </c>
      <c r="B1438" s="6" t="s">
        <v>12</v>
      </c>
      <c r="C1438" s="7">
        <v>13.34</v>
      </c>
      <c r="D1438" s="7">
        <v>8.75</v>
      </c>
      <c r="E1438" s="8">
        <v>2560</v>
      </c>
      <c r="F1438" s="6">
        <v>1830</v>
      </c>
      <c r="G1438" s="6">
        <v>4800</v>
      </c>
      <c r="H1438" s="9">
        <f t="shared" si="111"/>
        <v>9190</v>
      </c>
      <c r="I1438" s="9">
        <v>0</v>
      </c>
      <c r="J1438" s="9">
        <v>9190</v>
      </c>
      <c r="K1438" s="9">
        <v>9342</v>
      </c>
    </row>
    <row r="1439" spans="1:11" ht="15.75">
      <c r="A1439" s="5">
        <v>45469</v>
      </c>
      <c r="B1439" s="6" t="s">
        <v>12</v>
      </c>
      <c r="C1439" s="7">
        <v>13.38</v>
      </c>
      <c r="D1439" s="7">
        <v>8.9</v>
      </c>
      <c r="E1439" s="8">
        <v>2560</v>
      </c>
      <c r="F1439" s="6">
        <v>1830</v>
      </c>
      <c r="G1439" s="6">
        <v>4800</v>
      </c>
      <c r="H1439" s="9">
        <f t="shared" si="111"/>
        <v>9190</v>
      </c>
      <c r="I1439" s="9">
        <v>0</v>
      </c>
      <c r="J1439" s="9">
        <v>9190</v>
      </c>
      <c r="K1439" s="9">
        <v>9499</v>
      </c>
    </row>
    <row r="1440" spans="1:11" ht="15.75">
      <c r="A1440" s="5">
        <v>45470</v>
      </c>
      <c r="B1440" s="6" t="s">
        <v>12</v>
      </c>
      <c r="C1440" s="7">
        <v>13.44</v>
      </c>
      <c r="D1440" s="7">
        <v>9.1</v>
      </c>
      <c r="E1440" s="8">
        <v>2650</v>
      </c>
      <c r="F1440" s="6">
        <v>1900</v>
      </c>
      <c r="G1440" s="6">
        <v>5000</v>
      </c>
      <c r="H1440" s="9">
        <f t="shared" si="111"/>
        <v>9550</v>
      </c>
      <c r="I1440" s="9">
        <v>0</v>
      </c>
      <c r="J1440" s="9">
        <v>9550</v>
      </c>
      <c r="K1440" s="9">
        <v>10013</v>
      </c>
    </row>
    <row r="1441" spans="1:11" ht="15.75">
      <c r="A1441" s="5">
        <v>45471</v>
      </c>
      <c r="B1441" s="6" t="s">
        <v>12</v>
      </c>
      <c r="C1441" s="7">
        <v>13.52</v>
      </c>
      <c r="D1441" s="7">
        <v>9.35</v>
      </c>
      <c r="E1441" s="8">
        <v>2650</v>
      </c>
      <c r="F1441" s="6">
        <v>1900</v>
      </c>
      <c r="G1441" s="6">
        <v>5000</v>
      </c>
      <c r="H1441" s="9">
        <f t="shared" si="111"/>
        <v>9550</v>
      </c>
      <c r="I1441" s="9">
        <v>0</v>
      </c>
      <c r="J1441" s="9">
        <v>9550</v>
      </c>
      <c r="K1441" s="9">
        <v>10167</v>
      </c>
    </row>
    <row r="1442" spans="1:11" ht="15.75">
      <c r="A1442" s="5">
        <v>45472</v>
      </c>
      <c r="B1442" s="6" t="s">
        <v>12</v>
      </c>
      <c r="C1442" s="7">
        <v>13.63</v>
      </c>
      <c r="D1442" s="7">
        <v>9.6999999999999993</v>
      </c>
      <c r="E1442" s="8">
        <v>3090</v>
      </c>
      <c r="F1442" s="6">
        <v>2220</v>
      </c>
      <c r="G1442" s="6">
        <v>5800</v>
      </c>
      <c r="H1442" s="9">
        <f t="shared" si="111"/>
        <v>11110</v>
      </c>
      <c r="I1442" s="9">
        <v>0</v>
      </c>
      <c r="J1442" s="9">
        <v>11110</v>
      </c>
      <c r="K1442" s="9">
        <v>11958</v>
      </c>
    </row>
    <row r="1443" spans="1:11" ht="15.75">
      <c r="A1443" s="5">
        <v>45473</v>
      </c>
      <c r="B1443" s="6" t="s">
        <v>12</v>
      </c>
      <c r="C1443" s="7">
        <v>13.79</v>
      </c>
      <c r="D1443" s="7">
        <v>10.25</v>
      </c>
      <c r="E1443" s="8">
        <v>3090</v>
      </c>
      <c r="F1443" s="6">
        <v>2220</v>
      </c>
      <c r="G1443" s="6">
        <v>5800</v>
      </c>
      <c r="H1443" s="9">
        <f t="shared" si="111"/>
        <v>11110</v>
      </c>
      <c r="I1443" s="9">
        <v>0</v>
      </c>
      <c r="J1443" s="9">
        <v>11110</v>
      </c>
      <c r="K1443" s="9">
        <v>12345</v>
      </c>
    </row>
    <row r="1444" spans="1:11" ht="15.75">
      <c r="A1444" s="2" t="s">
        <v>13</v>
      </c>
      <c r="B1444" s="2"/>
      <c r="C1444" s="2"/>
      <c r="D1444" s="2"/>
      <c r="E1444" s="11">
        <f t="shared" ref="E1444:K1444" si="112">SUM(E1414:E1443)</f>
        <v>58360</v>
      </c>
      <c r="F1444" s="11">
        <f t="shared" si="112"/>
        <v>41915</v>
      </c>
      <c r="G1444" s="11">
        <f t="shared" si="112"/>
        <v>114700</v>
      </c>
      <c r="H1444" s="11">
        <f t="shared" si="112"/>
        <v>214975</v>
      </c>
      <c r="I1444" s="11">
        <f t="shared" si="112"/>
        <v>30509</v>
      </c>
      <c r="J1444" s="11">
        <f t="shared" si="112"/>
        <v>245684</v>
      </c>
      <c r="K1444" s="11">
        <f t="shared" si="112"/>
        <v>244138</v>
      </c>
    </row>
    <row r="1445" spans="1:11" ht="15.75">
      <c r="A1445" s="12"/>
      <c r="B1445" s="2"/>
      <c r="C1445" s="2"/>
      <c r="D1445" s="2"/>
      <c r="E1445" s="13">
        <f t="shared" ref="E1445:K1445" si="113">SUM(E1444/11575)</f>
        <v>5.0419006479481645</v>
      </c>
      <c r="F1445" s="13">
        <f t="shared" si="113"/>
        <v>3.6211663066954642</v>
      </c>
      <c r="G1445" s="13">
        <f t="shared" si="113"/>
        <v>9.9092872570194377</v>
      </c>
      <c r="H1445" s="13">
        <f t="shared" si="113"/>
        <v>18.572354211663068</v>
      </c>
      <c r="I1445" s="13">
        <f t="shared" si="113"/>
        <v>2.6357667386609069</v>
      </c>
      <c r="J1445" s="13">
        <f t="shared" si="113"/>
        <v>21.225399568034558</v>
      </c>
      <c r="K1445" s="13">
        <f t="shared" si="113"/>
        <v>21.091835853131748</v>
      </c>
    </row>
    <row r="1446" spans="1:11" ht="15.75">
      <c r="A1446" s="1" t="s">
        <v>62</v>
      </c>
      <c r="B1446" s="1"/>
      <c r="C1446" s="1"/>
      <c r="D1446" s="1"/>
      <c r="E1446" s="1"/>
      <c r="F1446" s="1"/>
      <c r="G1446" s="1"/>
      <c r="H1446" s="1"/>
      <c r="I1446" s="1"/>
      <c r="J1446" s="1"/>
      <c r="K1446" s="1"/>
    </row>
    <row r="1447" spans="1:11" ht="47.25">
      <c r="A1447" s="2" t="s">
        <v>1</v>
      </c>
      <c r="B1447" s="2" t="s">
        <v>2</v>
      </c>
      <c r="C1447" s="3" t="s">
        <v>18</v>
      </c>
      <c r="D1447" s="3" t="s">
        <v>4</v>
      </c>
      <c r="E1447" s="3" t="s">
        <v>5</v>
      </c>
      <c r="F1447" s="3" t="s">
        <v>6</v>
      </c>
      <c r="G1447" s="3" t="s">
        <v>7</v>
      </c>
      <c r="H1447" s="3" t="s">
        <v>8</v>
      </c>
      <c r="I1447" s="3" t="s">
        <v>9</v>
      </c>
      <c r="J1447" s="3" t="s">
        <v>19</v>
      </c>
      <c r="K1447" s="4" t="s">
        <v>11</v>
      </c>
    </row>
    <row r="1448" spans="1:11" ht="15.75">
      <c r="A1448" s="5">
        <v>45474</v>
      </c>
      <c r="B1448" s="6" t="s">
        <v>12</v>
      </c>
      <c r="C1448" s="7">
        <v>13.99</v>
      </c>
      <c r="D1448" s="7">
        <v>10.9</v>
      </c>
      <c r="E1448" s="8">
        <v>3800</v>
      </c>
      <c r="F1448" s="8">
        <v>2020</v>
      </c>
      <c r="G1448" s="8">
        <v>3000</v>
      </c>
      <c r="H1448" s="14">
        <f>E1448+F1448+G1448</f>
        <v>8820</v>
      </c>
      <c r="I1448" s="9">
        <v>0</v>
      </c>
      <c r="J1448" s="9">
        <v>8820</v>
      </c>
      <c r="K1448" s="10">
        <v>10363</v>
      </c>
    </row>
    <row r="1449" spans="1:11" ht="15.75">
      <c r="A1449" s="5">
        <v>45475</v>
      </c>
      <c r="B1449" s="6" t="s">
        <v>12</v>
      </c>
      <c r="C1449" s="7">
        <v>13.99</v>
      </c>
      <c r="D1449" s="7">
        <v>10.9</v>
      </c>
      <c r="E1449" s="8">
        <v>3200</v>
      </c>
      <c r="F1449" s="8">
        <v>2020</v>
      </c>
      <c r="G1449" s="8">
        <v>6000</v>
      </c>
      <c r="H1449" s="9">
        <f t="shared" ref="H1449:H1478" si="114">E1449+F1449+G1449</f>
        <v>11220</v>
      </c>
      <c r="I1449" s="9">
        <v>0</v>
      </c>
      <c r="J1449" s="9">
        <v>11220</v>
      </c>
      <c r="K1449" s="10">
        <v>11220</v>
      </c>
    </row>
    <row r="1450" spans="1:11" ht="15.75">
      <c r="A1450" s="5">
        <v>45476</v>
      </c>
      <c r="B1450" s="6" t="s">
        <v>12</v>
      </c>
      <c r="C1450" s="7">
        <v>13.99</v>
      </c>
      <c r="D1450" s="7">
        <v>10.9</v>
      </c>
      <c r="E1450" s="8">
        <v>3600</v>
      </c>
      <c r="F1450" s="8">
        <v>2020</v>
      </c>
      <c r="G1450" s="8">
        <v>6000</v>
      </c>
      <c r="H1450" s="9">
        <f t="shared" si="114"/>
        <v>11620</v>
      </c>
      <c r="I1450" s="9">
        <v>28283</v>
      </c>
      <c r="J1450" s="9">
        <v>39903</v>
      </c>
      <c r="K1450" s="10">
        <v>39903</v>
      </c>
    </row>
    <row r="1451" spans="1:11" ht="15.75">
      <c r="A1451" s="5">
        <v>45477</v>
      </c>
      <c r="B1451" s="6" t="s">
        <v>12</v>
      </c>
      <c r="C1451" s="7">
        <v>13.99</v>
      </c>
      <c r="D1451" s="7">
        <v>10.9</v>
      </c>
      <c r="E1451" s="8">
        <v>3600</v>
      </c>
      <c r="F1451" s="6">
        <v>2220</v>
      </c>
      <c r="G1451" s="8">
        <v>6000</v>
      </c>
      <c r="H1451" s="9">
        <f t="shared" si="114"/>
        <v>11820</v>
      </c>
      <c r="I1451" s="9">
        <v>28283</v>
      </c>
      <c r="J1451" s="9">
        <v>40103</v>
      </c>
      <c r="K1451" s="10">
        <v>40103</v>
      </c>
    </row>
    <row r="1452" spans="1:11" ht="15.75">
      <c r="A1452" s="5">
        <v>45478</v>
      </c>
      <c r="B1452" s="6" t="s">
        <v>12</v>
      </c>
      <c r="C1452" s="7">
        <v>13.99</v>
      </c>
      <c r="D1452" s="7">
        <v>10.9</v>
      </c>
      <c r="E1452" s="8">
        <v>3000</v>
      </c>
      <c r="F1452" s="6">
        <v>2420</v>
      </c>
      <c r="G1452" s="8">
        <v>6500</v>
      </c>
      <c r="H1452" s="9">
        <f t="shared" si="114"/>
        <v>11920</v>
      </c>
      <c r="I1452" s="9">
        <v>28283</v>
      </c>
      <c r="J1452" s="9">
        <v>40203</v>
      </c>
      <c r="K1452" s="9">
        <v>40203</v>
      </c>
    </row>
    <row r="1453" spans="1:11" ht="15.75">
      <c r="A1453" s="5">
        <v>45479</v>
      </c>
      <c r="B1453" s="6" t="s">
        <v>12</v>
      </c>
      <c r="C1453" s="7">
        <v>13.99</v>
      </c>
      <c r="D1453" s="7">
        <v>10.9</v>
      </c>
      <c r="E1453" s="8">
        <v>3000</v>
      </c>
      <c r="F1453" s="6">
        <v>2420</v>
      </c>
      <c r="G1453" s="8">
        <v>6500</v>
      </c>
      <c r="H1453" s="9">
        <f t="shared" si="114"/>
        <v>11920</v>
      </c>
      <c r="I1453" s="9">
        <v>28283</v>
      </c>
      <c r="J1453" s="9">
        <v>40203</v>
      </c>
      <c r="K1453" s="10">
        <v>40203</v>
      </c>
    </row>
    <row r="1454" spans="1:11" ht="15.75">
      <c r="A1454" s="5">
        <v>45480</v>
      </c>
      <c r="B1454" s="6" t="s">
        <v>12</v>
      </c>
      <c r="C1454" s="7">
        <v>13.99</v>
      </c>
      <c r="D1454" s="7">
        <v>10.9</v>
      </c>
      <c r="E1454" s="8">
        <v>3000</v>
      </c>
      <c r="F1454" s="6">
        <v>2100</v>
      </c>
      <c r="G1454" s="8">
        <v>4000</v>
      </c>
      <c r="H1454" s="9">
        <f t="shared" si="114"/>
        <v>9100</v>
      </c>
      <c r="I1454" s="9">
        <v>40866</v>
      </c>
      <c r="J1454" s="9">
        <v>49966</v>
      </c>
      <c r="K1454" s="10">
        <v>49966</v>
      </c>
    </row>
    <row r="1455" spans="1:11" ht="15.75">
      <c r="A1455" s="5">
        <v>45481</v>
      </c>
      <c r="B1455" s="6" t="s">
        <v>12</v>
      </c>
      <c r="C1455" s="7">
        <v>13.99</v>
      </c>
      <c r="D1455" s="7">
        <v>10.9</v>
      </c>
      <c r="E1455" s="8">
        <v>3300</v>
      </c>
      <c r="F1455" s="6">
        <v>2100</v>
      </c>
      <c r="G1455" s="8">
        <v>4000</v>
      </c>
      <c r="H1455" s="9">
        <f t="shared" si="114"/>
        <v>9400</v>
      </c>
      <c r="I1455" s="9">
        <v>37732</v>
      </c>
      <c r="J1455" s="9">
        <v>47132</v>
      </c>
      <c r="K1455" s="10">
        <v>47132</v>
      </c>
    </row>
    <row r="1456" spans="1:11" ht="15.75">
      <c r="A1456" s="5">
        <v>45482</v>
      </c>
      <c r="B1456" s="6" t="s">
        <v>12</v>
      </c>
      <c r="C1456" s="7">
        <v>13.99</v>
      </c>
      <c r="D1456" s="7">
        <v>10.9</v>
      </c>
      <c r="E1456" s="8">
        <v>3600</v>
      </c>
      <c r="F1456" s="6">
        <v>2100</v>
      </c>
      <c r="G1456" s="8">
        <v>4000</v>
      </c>
      <c r="H1456" s="9">
        <f t="shared" si="114"/>
        <v>9700</v>
      </c>
      <c r="I1456" s="9">
        <v>44031</v>
      </c>
      <c r="J1456" s="9">
        <v>53731</v>
      </c>
      <c r="K1456" s="10">
        <v>53731</v>
      </c>
    </row>
    <row r="1457" spans="1:11" ht="15.75">
      <c r="A1457" s="5">
        <v>45483</v>
      </c>
      <c r="B1457" s="6" t="s">
        <v>12</v>
      </c>
      <c r="C1457" s="7">
        <v>13.94</v>
      </c>
      <c r="D1457" s="7">
        <v>10.75</v>
      </c>
      <c r="E1457" s="8">
        <v>3600</v>
      </c>
      <c r="F1457" s="6">
        <v>1900</v>
      </c>
      <c r="G1457" s="8">
        <v>4000</v>
      </c>
      <c r="H1457" s="9">
        <f t="shared" si="114"/>
        <v>9500</v>
      </c>
      <c r="I1457" s="9">
        <v>52873</v>
      </c>
      <c r="J1457" s="9">
        <v>62373</v>
      </c>
      <c r="K1457" s="9">
        <v>61988</v>
      </c>
    </row>
    <row r="1458" spans="1:11" ht="15.75">
      <c r="A1458" s="5">
        <v>45484</v>
      </c>
      <c r="B1458" s="6" t="s">
        <v>12</v>
      </c>
      <c r="C1458" s="7">
        <v>13.99</v>
      </c>
      <c r="D1458" s="7">
        <v>10.9</v>
      </c>
      <c r="E1458" s="8">
        <v>3600</v>
      </c>
      <c r="F1458" s="6">
        <v>1900</v>
      </c>
      <c r="G1458" s="8">
        <v>6000</v>
      </c>
      <c r="H1458" s="9">
        <f t="shared" si="114"/>
        <v>11500</v>
      </c>
      <c r="I1458" s="9">
        <v>53168</v>
      </c>
      <c r="J1458" s="9">
        <v>64668</v>
      </c>
      <c r="K1458" s="10">
        <v>65053</v>
      </c>
    </row>
    <row r="1459" spans="1:11" ht="15.75">
      <c r="A1459" s="5">
        <v>45485</v>
      </c>
      <c r="B1459" s="6" t="s">
        <v>12</v>
      </c>
      <c r="C1459" s="7">
        <v>13.93</v>
      </c>
      <c r="D1459" s="7">
        <v>10.7</v>
      </c>
      <c r="E1459" s="8">
        <v>3800</v>
      </c>
      <c r="F1459" s="6">
        <v>2100</v>
      </c>
      <c r="G1459" s="8">
        <v>6000</v>
      </c>
      <c r="H1459" s="9">
        <f t="shared" si="114"/>
        <v>11900</v>
      </c>
      <c r="I1459" s="9">
        <v>71303</v>
      </c>
      <c r="J1459" s="9">
        <v>83203</v>
      </c>
      <c r="K1459" s="9">
        <v>82740</v>
      </c>
    </row>
    <row r="1460" spans="1:11" ht="15.75">
      <c r="A1460" s="5">
        <v>45486</v>
      </c>
      <c r="B1460" s="6" t="s">
        <v>12</v>
      </c>
      <c r="C1460" s="7">
        <v>13.99</v>
      </c>
      <c r="D1460" s="7">
        <v>10.9</v>
      </c>
      <c r="E1460" s="8">
        <v>3800</v>
      </c>
      <c r="F1460" s="6">
        <v>1700</v>
      </c>
      <c r="G1460" s="8">
        <v>6000</v>
      </c>
      <c r="H1460" s="9">
        <f t="shared" si="114"/>
        <v>11500</v>
      </c>
      <c r="I1460" s="9">
        <v>77352</v>
      </c>
      <c r="J1460" s="9">
        <v>88852</v>
      </c>
      <c r="K1460" s="10">
        <v>89315</v>
      </c>
    </row>
    <row r="1461" spans="1:11" ht="15.75">
      <c r="A1461" s="5">
        <v>45487</v>
      </c>
      <c r="B1461" s="6" t="s">
        <v>12</v>
      </c>
      <c r="C1461" s="7">
        <v>13.72</v>
      </c>
      <c r="D1461" s="7">
        <v>10</v>
      </c>
      <c r="E1461" s="8">
        <v>3300</v>
      </c>
      <c r="F1461" s="6">
        <v>1200</v>
      </c>
      <c r="G1461" s="6">
        <v>6000</v>
      </c>
      <c r="H1461" s="9">
        <f t="shared" si="114"/>
        <v>10500</v>
      </c>
      <c r="I1461" s="9">
        <v>94747</v>
      </c>
      <c r="J1461" s="9">
        <v>105247</v>
      </c>
      <c r="K1461" s="10">
        <v>103163</v>
      </c>
    </row>
    <row r="1462" spans="1:11" ht="15.75">
      <c r="A1462" s="5">
        <v>45488</v>
      </c>
      <c r="B1462" s="6" t="s">
        <v>12</v>
      </c>
      <c r="C1462" s="7">
        <v>13.99</v>
      </c>
      <c r="D1462" s="7">
        <v>10.9</v>
      </c>
      <c r="E1462" s="8">
        <v>3000</v>
      </c>
      <c r="F1462" s="6">
        <v>1200</v>
      </c>
      <c r="G1462" s="6">
        <v>6000</v>
      </c>
      <c r="H1462" s="9">
        <f t="shared" si="114"/>
        <v>10200</v>
      </c>
      <c r="I1462" s="9">
        <v>93115</v>
      </c>
      <c r="J1462" s="9">
        <v>103315</v>
      </c>
      <c r="K1462" s="9">
        <v>105398</v>
      </c>
    </row>
    <row r="1463" spans="1:11" ht="15.75">
      <c r="A1463" s="5">
        <v>45489</v>
      </c>
      <c r="B1463" s="6" t="s">
        <v>12</v>
      </c>
      <c r="C1463" s="7">
        <v>13.72</v>
      </c>
      <c r="D1463" s="7">
        <v>10</v>
      </c>
      <c r="E1463" s="8">
        <v>3000</v>
      </c>
      <c r="F1463" s="6">
        <v>1200</v>
      </c>
      <c r="G1463" s="6">
        <v>2000</v>
      </c>
      <c r="H1463" s="9">
        <f t="shared" si="114"/>
        <v>6200</v>
      </c>
      <c r="I1463" s="9">
        <v>83447</v>
      </c>
      <c r="J1463" s="9">
        <v>89647</v>
      </c>
      <c r="K1463" s="10">
        <v>87563</v>
      </c>
    </row>
    <row r="1464" spans="1:11" ht="15.75">
      <c r="A1464" s="5">
        <v>45490</v>
      </c>
      <c r="B1464" s="6" t="s">
        <v>12</v>
      </c>
      <c r="C1464" s="7">
        <v>13.89</v>
      </c>
      <c r="D1464" s="7">
        <v>10.55</v>
      </c>
      <c r="E1464" s="8">
        <v>3000</v>
      </c>
      <c r="F1464" s="6">
        <v>1700</v>
      </c>
      <c r="G1464" s="6">
        <v>4000</v>
      </c>
      <c r="H1464" s="9">
        <f t="shared" si="114"/>
        <v>8700</v>
      </c>
      <c r="I1464" s="9">
        <v>79771</v>
      </c>
      <c r="J1464" s="9">
        <v>88471</v>
      </c>
      <c r="K1464" s="10">
        <v>89782</v>
      </c>
    </row>
    <row r="1465" spans="1:11" ht="15.75">
      <c r="A1465" s="5">
        <v>45491</v>
      </c>
      <c r="B1465" s="6" t="s">
        <v>12</v>
      </c>
      <c r="C1465" s="7">
        <v>13.96</v>
      </c>
      <c r="D1465" s="7">
        <v>10.8</v>
      </c>
      <c r="E1465" s="8">
        <v>3000</v>
      </c>
      <c r="F1465" s="6">
        <v>1700</v>
      </c>
      <c r="G1465" s="6">
        <v>4000</v>
      </c>
      <c r="H1465" s="9">
        <f t="shared" si="114"/>
        <v>8700</v>
      </c>
      <c r="I1465" s="9">
        <v>143829</v>
      </c>
      <c r="J1465" s="9">
        <v>152529</v>
      </c>
      <c r="K1465" s="9">
        <v>153090</v>
      </c>
    </row>
    <row r="1466" spans="1:11" ht="15.75">
      <c r="A1466" s="5">
        <v>45492</v>
      </c>
      <c r="B1466" s="6" t="s">
        <v>12</v>
      </c>
      <c r="C1466" s="7">
        <v>13.96</v>
      </c>
      <c r="D1466" s="7">
        <v>10.8</v>
      </c>
      <c r="E1466" s="8">
        <v>1200</v>
      </c>
      <c r="F1466" s="6">
        <v>500</v>
      </c>
      <c r="G1466" s="6">
        <v>3000</v>
      </c>
      <c r="H1466" s="9">
        <f t="shared" si="114"/>
        <v>4700</v>
      </c>
      <c r="I1466" s="9">
        <v>346391</v>
      </c>
      <c r="J1466" s="9">
        <v>351091</v>
      </c>
      <c r="K1466" s="10">
        <v>351091</v>
      </c>
    </row>
    <row r="1467" spans="1:11" ht="15.75">
      <c r="A1467" s="5">
        <v>45493</v>
      </c>
      <c r="B1467" s="6" t="s">
        <v>12</v>
      </c>
      <c r="C1467" s="7">
        <v>13.05</v>
      </c>
      <c r="D1467" s="7">
        <v>7.8</v>
      </c>
      <c r="E1467" s="8">
        <v>800</v>
      </c>
      <c r="F1467" s="6">
        <v>500</v>
      </c>
      <c r="G1467" s="6">
        <v>500</v>
      </c>
      <c r="H1467" s="9">
        <f t="shared" si="114"/>
        <v>1800</v>
      </c>
      <c r="I1467" s="9">
        <v>309374</v>
      </c>
      <c r="J1467" s="9">
        <v>311174</v>
      </c>
      <c r="K1467" s="9">
        <v>304188</v>
      </c>
    </row>
    <row r="1468" spans="1:11" ht="15.75">
      <c r="A1468" s="5">
        <v>45494</v>
      </c>
      <c r="B1468" s="6" t="s">
        <v>12</v>
      </c>
      <c r="C1468" s="7">
        <v>13.78</v>
      </c>
      <c r="D1468" s="7">
        <v>10.199999999999999</v>
      </c>
      <c r="E1468" s="8">
        <v>800</v>
      </c>
      <c r="F1468" s="6">
        <v>500</v>
      </c>
      <c r="G1468" s="6">
        <v>500</v>
      </c>
      <c r="H1468" s="9">
        <f t="shared" si="114"/>
        <v>1800</v>
      </c>
      <c r="I1468" s="9">
        <v>496541</v>
      </c>
      <c r="J1468" s="9">
        <v>498341</v>
      </c>
      <c r="K1468" s="9">
        <v>503938</v>
      </c>
    </row>
    <row r="1469" spans="1:11" ht="15.75">
      <c r="A1469" s="5">
        <v>45495</v>
      </c>
      <c r="B1469" s="6" t="s">
        <v>12</v>
      </c>
      <c r="C1469" s="7">
        <v>14.25</v>
      </c>
      <c r="D1469" s="7">
        <v>11.75</v>
      </c>
      <c r="E1469" s="8">
        <v>800</v>
      </c>
      <c r="F1469" s="6">
        <v>500</v>
      </c>
      <c r="G1469" s="6">
        <v>500</v>
      </c>
      <c r="H1469" s="9">
        <f t="shared" si="114"/>
        <v>1800</v>
      </c>
      <c r="I1469" s="9">
        <v>1012354</v>
      </c>
      <c r="J1469" s="9">
        <v>1014154</v>
      </c>
      <c r="K1469" s="9">
        <v>1016006</v>
      </c>
    </row>
    <row r="1470" spans="1:11" ht="15.75">
      <c r="A1470" s="5">
        <v>45496</v>
      </c>
      <c r="B1470" s="6" t="s">
        <v>12</v>
      </c>
      <c r="C1470" s="7">
        <v>14.93</v>
      </c>
      <c r="D1470" s="7">
        <v>14</v>
      </c>
      <c r="E1470" s="8">
        <v>1200</v>
      </c>
      <c r="F1470" s="6">
        <v>1000</v>
      </c>
      <c r="G1470" s="6">
        <v>500</v>
      </c>
      <c r="H1470" s="9">
        <f t="shared" si="114"/>
        <v>2700</v>
      </c>
      <c r="I1470" s="9">
        <v>1314870</v>
      </c>
      <c r="J1470" s="9">
        <v>1317570</v>
      </c>
      <c r="K1470" s="9">
        <v>1317570</v>
      </c>
    </row>
    <row r="1471" spans="1:11" ht="15.75">
      <c r="A1471" s="5">
        <v>45497</v>
      </c>
      <c r="B1471" s="6" t="s">
        <v>12</v>
      </c>
      <c r="C1471" s="7">
        <v>15.21</v>
      </c>
      <c r="D1471" s="7">
        <v>14.9</v>
      </c>
      <c r="E1471" s="8">
        <v>1200</v>
      </c>
      <c r="F1471" s="6">
        <v>1600</v>
      </c>
      <c r="G1471" s="6">
        <v>500</v>
      </c>
      <c r="H1471" s="9">
        <f t="shared" si="114"/>
        <v>3300</v>
      </c>
      <c r="I1471" s="9">
        <v>1456651</v>
      </c>
      <c r="J1471" s="9">
        <v>1459951</v>
      </c>
      <c r="K1471" s="9">
        <v>1459951</v>
      </c>
    </row>
    <row r="1472" spans="1:11" ht="15.75">
      <c r="A1472" s="5">
        <v>45498</v>
      </c>
      <c r="B1472" s="6" t="s">
        <v>12</v>
      </c>
      <c r="C1472" s="7">
        <v>14.87</v>
      </c>
      <c r="D1472" s="7">
        <v>13.8</v>
      </c>
      <c r="E1472" s="8">
        <v>2500</v>
      </c>
      <c r="F1472" s="6">
        <v>1600</v>
      </c>
      <c r="G1472" s="6">
        <v>500</v>
      </c>
      <c r="H1472" s="9">
        <f t="shared" si="114"/>
        <v>4600</v>
      </c>
      <c r="I1472" s="9">
        <v>1289504</v>
      </c>
      <c r="J1472" s="9">
        <v>1294104</v>
      </c>
      <c r="K1472" s="9">
        <v>1294104</v>
      </c>
    </row>
    <row r="1473" spans="1:11" ht="15.75">
      <c r="A1473" s="5">
        <v>45499</v>
      </c>
      <c r="B1473" s="6" t="s">
        <v>12</v>
      </c>
      <c r="C1473" s="7">
        <v>14.81</v>
      </c>
      <c r="D1473" s="7">
        <v>13.6</v>
      </c>
      <c r="E1473" s="8">
        <v>3000</v>
      </c>
      <c r="F1473" s="6">
        <v>1900</v>
      </c>
      <c r="G1473" s="6">
        <v>500</v>
      </c>
      <c r="H1473" s="9">
        <f t="shared" si="114"/>
        <v>5400</v>
      </c>
      <c r="I1473" s="9">
        <v>1255277</v>
      </c>
      <c r="J1473" s="9">
        <v>1260677</v>
      </c>
      <c r="K1473" s="9">
        <v>1260677</v>
      </c>
    </row>
    <row r="1474" spans="1:11" ht="15.75">
      <c r="A1474" s="5">
        <v>45500</v>
      </c>
      <c r="B1474" s="6" t="s">
        <v>12</v>
      </c>
      <c r="C1474" s="7">
        <v>14.81</v>
      </c>
      <c r="D1474" s="7">
        <v>13.6</v>
      </c>
      <c r="E1474" s="8">
        <v>3500</v>
      </c>
      <c r="F1474" s="6">
        <v>1900</v>
      </c>
      <c r="G1474" s="6">
        <v>500</v>
      </c>
      <c r="H1474" s="9">
        <f t="shared" si="114"/>
        <v>5900</v>
      </c>
      <c r="I1474" s="9">
        <v>1249958</v>
      </c>
      <c r="J1474" s="9">
        <v>1255858</v>
      </c>
      <c r="K1474" s="9">
        <v>1255858</v>
      </c>
    </row>
    <row r="1475" spans="1:11" ht="15.75">
      <c r="A1475" s="5">
        <v>45501</v>
      </c>
      <c r="B1475" s="6" t="s">
        <v>12</v>
      </c>
      <c r="C1475" s="7">
        <v>15.24</v>
      </c>
      <c r="D1475" s="7">
        <v>15</v>
      </c>
      <c r="E1475" s="8">
        <v>3800</v>
      </c>
      <c r="F1475" s="6">
        <v>1700</v>
      </c>
      <c r="G1475" s="6">
        <v>4000</v>
      </c>
      <c r="H1475" s="9">
        <f t="shared" si="114"/>
        <v>9500</v>
      </c>
      <c r="I1475" s="9">
        <v>1483273</v>
      </c>
      <c r="J1475" s="9">
        <v>1492773</v>
      </c>
      <c r="K1475" s="9">
        <v>1492773</v>
      </c>
    </row>
    <row r="1476" spans="1:11" ht="15.75">
      <c r="A1476" s="5">
        <v>45502</v>
      </c>
      <c r="B1476" s="6" t="s">
        <v>12</v>
      </c>
      <c r="C1476" s="7">
        <v>15.42</v>
      </c>
      <c r="D1476" s="7">
        <v>15.6</v>
      </c>
      <c r="E1476" s="8">
        <v>3800</v>
      </c>
      <c r="F1476" s="6">
        <v>1200</v>
      </c>
      <c r="G1476" s="6">
        <v>4000</v>
      </c>
      <c r="H1476" s="9">
        <f t="shared" si="114"/>
        <v>9000</v>
      </c>
      <c r="I1476" s="9">
        <v>1578996</v>
      </c>
      <c r="J1476" s="9">
        <v>1587996</v>
      </c>
      <c r="K1476" s="9">
        <v>1587996</v>
      </c>
    </row>
    <row r="1477" spans="1:11" ht="15.75">
      <c r="A1477" s="5">
        <v>45503</v>
      </c>
      <c r="B1477" s="6" t="s">
        <v>12</v>
      </c>
      <c r="C1477" s="7">
        <v>14.81</v>
      </c>
      <c r="D1477" s="7">
        <v>13.6</v>
      </c>
      <c r="E1477" s="8">
        <v>3500</v>
      </c>
      <c r="F1477" s="6">
        <v>1200</v>
      </c>
      <c r="G1477" s="6">
        <v>2500</v>
      </c>
      <c r="H1477" s="9">
        <f t="shared" si="114"/>
        <v>7200</v>
      </c>
      <c r="I1477" s="9">
        <v>1278000</v>
      </c>
      <c r="J1477" s="9">
        <v>1285200</v>
      </c>
      <c r="K1477" s="9">
        <v>1285200</v>
      </c>
    </row>
    <row r="1478" spans="1:11" ht="15.75">
      <c r="A1478" s="5">
        <v>45504</v>
      </c>
      <c r="B1478" s="6" t="s">
        <v>12</v>
      </c>
      <c r="C1478" s="7">
        <v>14.36</v>
      </c>
      <c r="D1478" s="7">
        <v>12.1</v>
      </c>
      <c r="E1478" s="8">
        <v>3500</v>
      </c>
      <c r="F1478" s="6">
        <v>1200</v>
      </c>
      <c r="G1478" s="6">
        <v>2500</v>
      </c>
      <c r="H1478" s="9">
        <f t="shared" si="114"/>
        <v>7200</v>
      </c>
      <c r="I1478" s="9">
        <v>1052131</v>
      </c>
      <c r="J1478" s="9">
        <v>1059331</v>
      </c>
      <c r="K1478" s="9">
        <v>1059331</v>
      </c>
    </row>
    <row r="1479" spans="1:11" ht="15.75">
      <c r="A1479" s="2" t="s">
        <v>13</v>
      </c>
      <c r="B1479" s="2"/>
      <c r="C1479" s="2"/>
      <c r="D1479" s="2"/>
      <c r="E1479" s="11">
        <f t="shared" ref="E1479:K1479" si="115">SUM(E1448:E1478)</f>
        <v>89800</v>
      </c>
      <c r="F1479" s="11">
        <f t="shared" si="115"/>
        <v>49320</v>
      </c>
      <c r="G1479" s="11">
        <f t="shared" si="115"/>
        <v>110000</v>
      </c>
      <c r="H1479" s="11">
        <f t="shared" si="115"/>
        <v>249120</v>
      </c>
      <c r="I1479" s="11">
        <f t="shared" si="115"/>
        <v>15108686</v>
      </c>
      <c r="J1479" s="11">
        <f t="shared" si="115"/>
        <v>15357806</v>
      </c>
      <c r="K1479" s="11">
        <f t="shared" si="115"/>
        <v>15359599</v>
      </c>
    </row>
    <row r="1480" spans="1:11" ht="15.75">
      <c r="A1480" s="12"/>
      <c r="B1480" s="2"/>
      <c r="C1480" s="2"/>
      <c r="D1480" s="2"/>
      <c r="E1480" s="13">
        <f t="shared" ref="E1480:K1480" si="116">SUM(E1479/11575)</f>
        <v>7.7580993520518362</v>
      </c>
      <c r="F1480" s="13">
        <f t="shared" si="116"/>
        <v>4.2609071274298058</v>
      </c>
      <c r="G1480" s="13">
        <f t="shared" si="116"/>
        <v>9.5032397408207352</v>
      </c>
      <c r="H1480" s="13">
        <f t="shared" si="116"/>
        <v>21.522246220302375</v>
      </c>
      <c r="I1480" s="13">
        <f t="shared" si="116"/>
        <v>1305.2860475161988</v>
      </c>
      <c r="J1480" s="13">
        <f t="shared" si="116"/>
        <v>1326.8082937365011</v>
      </c>
      <c r="K1480" s="13">
        <f t="shared" si="116"/>
        <v>1326.9631965442766</v>
      </c>
    </row>
    <row r="1481" spans="1:11" ht="15.75">
      <c r="A1481" s="1" t="s">
        <v>63</v>
      </c>
      <c r="B1481" s="1"/>
      <c r="C1481" s="1"/>
      <c r="D1481" s="1"/>
      <c r="E1481" s="1"/>
      <c r="F1481" s="1"/>
      <c r="G1481" s="1"/>
      <c r="H1481" s="1"/>
      <c r="I1481" s="1"/>
      <c r="J1481" s="1"/>
      <c r="K1481" s="1"/>
    </row>
    <row r="1482" spans="1:11" ht="47.25">
      <c r="A1482" s="2" t="s">
        <v>1</v>
      </c>
      <c r="B1482" s="2" t="s">
        <v>2</v>
      </c>
      <c r="C1482" s="3" t="s">
        <v>18</v>
      </c>
      <c r="D1482" s="3" t="s">
        <v>4</v>
      </c>
      <c r="E1482" s="3" t="s">
        <v>5</v>
      </c>
      <c r="F1482" s="3" t="s">
        <v>6</v>
      </c>
      <c r="G1482" s="3" t="s">
        <v>7</v>
      </c>
      <c r="H1482" s="3" t="s">
        <v>8</v>
      </c>
      <c r="I1482" s="3" t="s">
        <v>9</v>
      </c>
      <c r="J1482" s="3" t="s">
        <v>19</v>
      </c>
      <c r="K1482" s="4" t="s">
        <v>11</v>
      </c>
    </row>
    <row r="1483" spans="1:11" ht="15.75">
      <c r="A1483" s="5">
        <v>45505</v>
      </c>
      <c r="B1483" s="6" t="s">
        <v>12</v>
      </c>
      <c r="C1483" s="7">
        <v>14.42</v>
      </c>
      <c r="D1483" s="7">
        <v>12.3</v>
      </c>
      <c r="E1483" s="8">
        <v>3800</v>
      </c>
      <c r="F1483" s="8">
        <v>1000</v>
      </c>
      <c r="G1483" s="8">
        <v>4000</v>
      </c>
      <c r="H1483" s="14">
        <f>E1483+F1483+G1483</f>
        <v>8800</v>
      </c>
      <c r="I1483" s="9">
        <v>1060292</v>
      </c>
      <c r="J1483" s="9">
        <v>1069092</v>
      </c>
      <c r="K1483" s="10">
        <v>1069092</v>
      </c>
    </row>
    <row r="1484" spans="1:11" ht="15.75">
      <c r="A1484" s="5">
        <v>45506</v>
      </c>
      <c r="B1484" s="6" t="s">
        <v>12</v>
      </c>
      <c r="C1484" s="7">
        <v>14.17</v>
      </c>
      <c r="D1484" s="7">
        <v>11.5</v>
      </c>
      <c r="E1484" s="8">
        <v>3800</v>
      </c>
      <c r="F1484" s="8">
        <v>1000</v>
      </c>
      <c r="G1484" s="8">
        <v>4000</v>
      </c>
      <c r="H1484" s="9">
        <f t="shared" ref="H1484:H1513" si="117">E1484+F1484+G1484</f>
        <v>8800</v>
      </c>
      <c r="I1484" s="9">
        <v>952362</v>
      </c>
      <c r="J1484" s="9">
        <v>961162</v>
      </c>
      <c r="K1484" s="10">
        <v>961162</v>
      </c>
    </row>
    <row r="1485" spans="1:11" ht="15.75">
      <c r="A1485" s="5">
        <v>45507</v>
      </c>
      <c r="B1485" s="6" t="s">
        <v>12</v>
      </c>
      <c r="C1485" s="7">
        <v>13.5</v>
      </c>
      <c r="D1485" s="7">
        <v>9.3000000000000007</v>
      </c>
      <c r="E1485" s="8">
        <v>3800</v>
      </c>
      <c r="F1485" s="8">
        <v>1000</v>
      </c>
      <c r="G1485" s="8">
        <v>4000</v>
      </c>
      <c r="H1485" s="9">
        <f t="shared" si="117"/>
        <v>8800</v>
      </c>
      <c r="I1485" s="9">
        <v>674483</v>
      </c>
      <c r="J1485" s="9">
        <v>683283</v>
      </c>
      <c r="K1485" s="10">
        <v>679271</v>
      </c>
    </row>
    <row r="1486" spans="1:11" ht="15.75">
      <c r="A1486" s="5">
        <v>45508</v>
      </c>
      <c r="B1486" s="6" t="s">
        <v>12</v>
      </c>
      <c r="C1486" s="7">
        <v>13.23</v>
      </c>
      <c r="D1486" s="7">
        <v>8.4</v>
      </c>
      <c r="E1486" s="8">
        <v>3800</v>
      </c>
      <c r="F1486" s="6">
        <v>1400</v>
      </c>
      <c r="G1486" s="8">
        <v>4000</v>
      </c>
      <c r="H1486" s="9">
        <f t="shared" si="117"/>
        <v>9200</v>
      </c>
      <c r="I1486" s="9">
        <v>568146</v>
      </c>
      <c r="J1486" s="9">
        <v>577346</v>
      </c>
      <c r="K1486" s="10">
        <v>575276</v>
      </c>
    </row>
    <row r="1487" spans="1:11" ht="15.75">
      <c r="A1487" s="5">
        <v>45509</v>
      </c>
      <c r="B1487" s="6" t="s">
        <v>12</v>
      </c>
      <c r="C1487" s="7">
        <v>13.38</v>
      </c>
      <c r="D1487" s="7">
        <v>8.9</v>
      </c>
      <c r="E1487" s="8">
        <v>3800</v>
      </c>
      <c r="F1487" s="6">
        <v>1400</v>
      </c>
      <c r="G1487" s="8">
        <v>4000</v>
      </c>
      <c r="H1487" s="9">
        <f t="shared" si="117"/>
        <v>9200</v>
      </c>
      <c r="I1487" s="9">
        <v>619610</v>
      </c>
      <c r="J1487" s="9">
        <v>628810</v>
      </c>
      <c r="K1487" s="9">
        <v>629954</v>
      </c>
    </row>
    <row r="1488" spans="1:11" ht="15.75">
      <c r="A1488" s="5">
        <v>45510</v>
      </c>
      <c r="B1488" s="6" t="s">
        <v>12</v>
      </c>
      <c r="C1488" s="7">
        <v>13.38</v>
      </c>
      <c r="D1488" s="7">
        <v>8.9</v>
      </c>
      <c r="E1488" s="8">
        <v>3800</v>
      </c>
      <c r="F1488" s="6">
        <v>2000</v>
      </c>
      <c r="G1488" s="8">
        <v>5000</v>
      </c>
      <c r="H1488" s="9">
        <f t="shared" si="117"/>
        <v>10800</v>
      </c>
      <c r="I1488" s="9">
        <v>621854</v>
      </c>
      <c r="J1488" s="9">
        <v>632654</v>
      </c>
      <c r="K1488" s="10">
        <v>632654</v>
      </c>
    </row>
    <row r="1489" spans="1:11" ht="15.75">
      <c r="A1489" s="5">
        <v>45511</v>
      </c>
      <c r="B1489" s="6" t="s">
        <v>12</v>
      </c>
      <c r="C1489" s="7">
        <v>12.99</v>
      </c>
      <c r="D1489" s="7">
        <v>7.6</v>
      </c>
      <c r="E1489" s="8">
        <v>3800</v>
      </c>
      <c r="F1489" s="6">
        <v>2000</v>
      </c>
      <c r="G1489" s="8">
        <v>5000</v>
      </c>
      <c r="H1489" s="9">
        <f t="shared" si="117"/>
        <v>10800</v>
      </c>
      <c r="I1489" s="9">
        <v>464386</v>
      </c>
      <c r="J1489" s="9">
        <v>475186</v>
      </c>
      <c r="K1489" s="10">
        <v>472227</v>
      </c>
    </row>
    <row r="1490" spans="1:11" ht="15.75">
      <c r="A1490" s="5">
        <v>45512</v>
      </c>
      <c r="B1490" s="6" t="s">
        <v>12</v>
      </c>
      <c r="C1490" s="7">
        <v>13.23</v>
      </c>
      <c r="D1490" s="7">
        <v>8.4</v>
      </c>
      <c r="E1490" s="8">
        <v>3800</v>
      </c>
      <c r="F1490" s="6">
        <v>2000</v>
      </c>
      <c r="G1490" s="8">
        <v>4000</v>
      </c>
      <c r="H1490" s="9">
        <f t="shared" si="117"/>
        <v>9800</v>
      </c>
      <c r="I1490" s="9">
        <v>557631</v>
      </c>
      <c r="J1490" s="9">
        <v>567131</v>
      </c>
      <c r="K1490" s="10">
        <v>568946</v>
      </c>
    </row>
    <row r="1491" spans="1:11" ht="15.75">
      <c r="A1491" s="5">
        <v>45513</v>
      </c>
      <c r="B1491" s="6" t="s">
        <v>12</v>
      </c>
      <c r="C1491" s="7">
        <v>13.69</v>
      </c>
      <c r="D1491" s="7">
        <v>9.9</v>
      </c>
      <c r="E1491" s="8">
        <v>2000</v>
      </c>
      <c r="F1491" s="6">
        <v>1500</v>
      </c>
      <c r="G1491" s="8">
        <v>4000</v>
      </c>
      <c r="H1491" s="9">
        <f t="shared" si="117"/>
        <v>7500</v>
      </c>
      <c r="I1491" s="9">
        <v>733886</v>
      </c>
      <c r="J1491" s="9">
        <v>741386</v>
      </c>
      <c r="K1491" s="10">
        <v>744921</v>
      </c>
    </row>
    <row r="1492" spans="1:11" ht="15.75">
      <c r="A1492" s="5">
        <v>45514</v>
      </c>
      <c r="B1492" s="6" t="s">
        <v>12</v>
      </c>
      <c r="C1492" s="7">
        <v>13.29</v>
      </c>
      <c r="D1492" s="7">
        <v>8.6</v>
      </c>
      <c r="E1492" s="8">
        <v>2000</v>
      </c>
      <c r="F1492" s="6">
        <v>1500</v>
      </c>
      <c r="G1492" s="8">
        <v>2000</v>
      </c>
      <c r="H1492" s="9">
        <f t="shared" si="117"/>
        <v>5500</v>
      </c>
      <c r="I1492" s="9">
        <v>583892</v>
      </c>
      <c r="J1492" s="9">
        <v>589392</v>
      </c>
      <c r="K1492" s="9">
        <v>586312</v>
      </c>
    </row>
    <row r="1493" spans="1:11" ht="15.75">
      <c r="A1493" s="5">
        <v>45515</v>
      </c>
      <c r="B1493" s="6" t="s">
        <v>12</v>
      </c>
      <c r="C1493" s="7">
        <v>12.83</v>
      </c>
      <c r="D1493" s="7">
        <v>7.1</v>
      </c>
      <c r="E1493" s="8">
        <v>2000</v>
      </c>
      <c r="F1493" s="6">
        <v>1500</v>
      </c>
      <c r="G1493" s="8">
        <v>2000</v>
      </c>
      <c r="H1493" s="9">
        <f t="shared" si="117"/>
        <v>5500</v>
      </c>
      <c r="I1493" s="9">
        <v>423234</v>
      </c>
      <c r="J1493" s="9">
        <v>428734</v>
      </c>
      <c r="K1493" s="10">
        <v>425270</v>
      </c>
    </row>
    <row r="1494" spans="1:11" ht="15.75">
      <c r="A1494" s="5">
        <v>45516</v>
      </c>
      <c r="B1494" s="6" t="s">
        <v>12</v>
      </c>
      <c r="C1494" s="7">
        <v>12.83</v>
      </c>
      <c r="D1494" s="7">
        <v>7.1</v>
      </c>
      <c r="E1494" s="8">
        <v>3000</v>
      </c>
      <c r="F1494" s="6">
        <v>1500</v>
      </c>
      <c r="G1494" s="8">
        <v>2000</v>
      </c>
      <c r="H1494" s="9">
        <f t="shared" si="117"/>
        <v>6500</v>
      </c>
      <c r="I1494" s="9">
        <v>398938</v>
      </c>
      <c r="J1494" s="9">
        <v>405438</v>
      </c>
      <c r="K1494" s="9">
        <v>405438</v>
      </c>
    </row>
    <row r="1495" spans="1:11" ht="15.75">
      <c r="A1495" s="5">
        <v>45517</v>
      </c>
      <c r="B1495" s="6" t="s">
        <v>12</v>
      </c>
      <c r="C1495" s="7">
        <v>12.65</v>
      </c>
      <c r="D1495" s="7">
        <v>6.5</v>
      </c>
      <c r="E1495" s="8">
        <v>3800</v>
      </c>
      <c r="F1495" s="6">
        <v>2000</v>
      </c>
      <c r="G1495" s="8">
        <v>5000</v>
      </c>
      <c r="H1495" s="9">
        <f t="shared" si="117"/>
        <v>10800</v>
      </c>
      <c r="I1495" s="9">
        <v>346989</v>
      </c>
      <c r="J1495" s="9">
        <v>357789</v>
      </c>
      <c r="K1495" s="10">
        <v>356457</v>
      </c>
    </row>
    <row r="1496" spans="1:11" ht="15.75">
      <c r="A1496" s="5">
        <v>45518</v>
      </c>
      <c r="B1496" s="6" t="s">
        <v>12</v>
      </c>
      <c r="C1496" s="7">
        <v>12.4</v>
      </c>
      <c r="D1496" s="7">
        <v>5.7</v>
      </c>
      <c r="E1496" s="8">
        <v>4100</v>
      </c>
      <c r="F1496" s="6">
        <v>2250</v>
      </c>
      <c r="G1496" s="6">
        <v>5000</v>
      </c>
      <c r="H1496" s="9">
        <f t="shared" si="117"/>
        <v>11350</v>
      </c>
      <c r="I1496" s="9">
        <v>254195</v>
      </c>
      <c r="J1496" s="9">
        <v>265545</v>
      </c>
      <c r="K1496" s="10">
        <v>263722</v>
      </c>
    </row>
    <row r="1497" spans="1:11" ht="15.75">
      <c r="A1497" s="5">
        <v>45519</v>
      </c>
      <c r="B1497" s="6" t="s">
        <v>12</v>
      </c>
      <c r="C1497" s="7">
        <v>13.26</v>
      </c>
      <c r="D1497" s="7">
        <v>8.5</v>
      </c>
      <c r="E1497" s="8">
        <v>4500</v>
      </c>
      <c r="F1497" s="6">
        <v>2250</v>
      </c>
      <c r="G1497" s="6">
        <v>6000</v>
      </c>
      <c r="H1497" s="9">
        <f t="shared" si="117"/>
        <v>12750</v>
      </c>
      <c r="I1497" s="9">
        <v>268517</v>
      </c>
      <c r="J1497" s="9">
        <v>281267</v>
      </c>
      <c r="K1497" s="9">
        <v>287659</v>
      </c>
    </row>
    <row r="1498" spans="1:11" ht="15.75">
      <c r="A1498" s="5">
        <v>45520</v>
      </c>
      <c r="B1498" s="6" t="s">
        <v>12</v>
      </c>
      <c r="C1498" s="7">
        <v>13.9</v>
      </c>
      <c r="D1498" s="7">
        <v>10.6</v>
      </c>
      <c r="E1498" s="8">
        <v>4500</v>
      </c>
      <c r="F1498" s="6">
        <v>2250</v>
      </c>
      <c r="G1498" s="6">
        <v>6000</v>
      </c>
      <c r="H1498" s="9">
        <f t="shared" si="117"/>
        <v>12750</v>
      </c>
      <c r="I1498" s="9">
        <v>239588</v>
      </c>
      <c r="J1498" s="9">
        <v>252338</v>
      </c>
      <c r="K1498" s="10">
        <v>257267</v>
      </c>
    </row>
    <row r="1499" spans="1:11" ht="15.75">
      <c r="A1499" s="5">
        <v>45521</v>
      </c>
      <c r="B1499" s="6" t="s">
        <v>12</v>
      </c>
      <c r="C1499" s="7">
        <v>13.87</v>
      </c>
      <c r="D1499" s="7">
        <v>10.5</v>
      </c>
      <c r="E1499" s="8">
        <v>4500</v>
      </c>
      <c r="F1499" s="6">
        <v>2250</v>
      </c>
      <c r="G1499" s="6">
        <v>7000</v>
      </c>
      <c r="H1499" s="9">
        <f t="shared" si="117"/>
        <v>13750</v>
      </c>
      <c r="I1499" s="9">
        <v>202483</v>
      </c>
      <c r="J1499" s="9">
        <v>216233</v>
      </c>
      <c r="K1499" s="10">
        <v>216001</v>
      </c>
    </row>
    <row r="1500" spans="1:11" ht="15.75">
      <c r="A1500" s="5">
        <v>45522</v>
      </c>
      <c r="B1500" s="6" t="s">
        <v>12</v>
      </c>
      <c r="C1500" s="7">
        <v>13.99</v>
      </c>
      <c r="D1500" s="7">
        <v>10.9</v>
      </c>
      <c r="E1500" s="8">
        <v>4700</v>
      </c>
      <c r="F1500" s="6">
        <v>2400</v>
      </c>
      <c r="G1500" s="6">
        <v>7000</v>
      </c>
      <c r="H1500" s="9">
        <f t="shared" si="117"/>
        <v>14100</v>
      </c>
      <c r="I1500" s="9">
        <v>208064</v>
      </c>
      <c r="J1500" s="9">
        <v>222164</v>
      </c>
      <c r="K1500" s="9">
        <v>223090</v>
      </c>
    </row>
    <row r="1501" spans="1:11" ht="15.75">
      <c r="A1501" s="5">
        <v>45523</v>
      </c>
      <c r="B1501" s="6" t="s">
        <v>12</v>
      </c>
      <c r="C1501" s="7">
        <v>13.72</v>
      </c>
      <c r="D1501" s="7">
        <v>10</v>
      </c>
      <c r="E1501" s="8">
        <v>4200</v>
      </c>
      <c r="F1501" s="6">
        <v>2400</v>
      </c>
      <c r="G1501" s="6">
        <v>7000</v>
      </c>
      <c r="H1501" s="9">
        <f t="shared" si="117"/>
        <v>13600</v>
      </c>
      <c r="I1501" s="9">
        <v>248932</v>
      </c>
      <c r="J1501" s="9">
        <v>262532</v>
      </c>
      <c r="K1501" s="10">
        <v>260448</v>
      </c>
    </row>
    <row r="1502" spans="1:11" ht="15.75">
      <c r="A1502" s="5">
        <v>45524</v>
      </c>
      <c r="B1502" s="6" t="s">
        <v>12</v>
      </c>
      <c r="C1502" s="7">
        <v>13.99</v>
      </c>
      <c r="D1502" s="7">
        <v>10.9</v>
      </c>
      <c r="E1502" s="8">
        <v>4400</v>
      </c>
      <c r="F1502" s="6">
        <v>2400</v>
      </c>
      <c r="G1502" s="6">
        <v>7000</v>
      </c>
      <c r="H1502" s="9">
        <f t="shared" si="117"/>
        <v>13800</v>
      </c>
      <c r="I1502" s="9">
        <v>284162</v>
      </c>
      <c r="J1502" s="9">
        <v>297962</v>
      </c>
      <c r="K1502" s="9">
        <v>300046</v>
      </c>
    </row>
    <row r="1503" spans="1:11" ht="15.75">
      <c r="A1503" s="5">
        <v>45525</v>
      </c>
      <c r="B1503" s="6" t="s">
        <v>12</v>
      </c>
      <c r="C1503" s="7">
        <v>13.99</v>
      </c>
      <c r="D1503" s="7">
        <v>10.9</v>
      </c>
      <c r="E1503" s="8">
        <v>4600</v>
      </c>
      <c r="F1503" s="6">
        <v>2400</v>
      </c>
      <c r="G1503" s="6">
        <v>7000</v>
      </c>
      <c r="H1503" s="9">
        <f t="shared" si="117"/>
        <v>14000</v>
      </c>
      <c r="I1503" s="9">
        <v>292154</v>
      </c>
      <c r="J1503" s="9">
        <v>306154</v>
      </c>
      <c r="K1503" s="9">
        <v>306154</v>
      </c>
    </row>
    <row r="1504" spans="1:11" ht="15.75">
      <c r="A1504" s="5">
        <v>45526</v>
      </c>
      <c r="B1504" s="6" t="s">
        <v>12</v>
      </c>
      <c r="C1504" s="7">
        <v>13.84</v>
      </c>
      <c r="D1504" s="7">
        <v>10.4</v>
      </c>
      <c r="E1504" s="8">
        <v>4600</v>
      </c>
      <c r="F1504" s="6">
        <v>2400</v>
      </c>
      <c r="G1504" s="6">
        <v>7000</v>
      </c>
      <c r="H1504" s="9">
        <f t="shared" si="117"/>
        <v>14000</v>
      </c>
      <c r="I1504" s="9">
        <v>275773</v>
      </c>
      <c r="J1504" s="9">
        <v>289773</v>
      </c>
      <c r="K1504" s="9">
        <v>288615</v>
      </c>
    </row>
    <row r="1505" spans="1:11" ht="15.75">
      <c r="A1505" s="5">
        <v>45527</v>
      </c>
      <c r="B1505" s="6" t="s">
        <v>12</v>
      </c>
      <c r="C1505" s="7">
        <v>13.81</v>
      </c>
      <c r="D1505" s="7">
        <v>10.3</v>
      </c>
      <c r="E1505" s="8">
        <v>4600</v>
      </c>
      <c r="F1505" s="6">
        <v>2000</v>
      </c>
      <c r="G1505" s="6">
        <v>6000</v>
      </c>
      <c r="H1505" s="9">
        <f t="shared" si="117"/>
        <v>12600</v>
      </c>
      <c r="I1505" s="9">
        <v>257854</v>
      </c>
      <c r="J1505" s="9">
        <v>270454</v>
      </c>
      <c r="K1505" s="9">
        <v>270222</v>
      </c>
    </row>
    <row r="1506" spans="1:11" ht="15.75">
      <c r="A1506" s="5">
        <v>45528</v>
      </c>
      <c r="B1506" s="6" t="s">
        <v>12</v>
      </c>
      <c r="C1506" s="7">
        <v>13.87</v>
      </c>
      <c r="D1506" s="7">
        <v>10.5</v>
      </c>
      <c r="E1506" s="8">
        <v>4600</v>
      </c>
      <c r="F1506" s="6">
        <v>1900</v>
      </c>
      <c r="G1506" s="6">
        <v>6000</v>
      </c>
      <c r="H1506" s="9">
        <f t="shared" si="117"/>
        <v>12500</v>
      </c>
      <c r="I1506" s="9">
        <v>233107</v>
      </c>
      <c r="J1506" s="9">
        <v>245607</v>
      </c>
      <c r="K1506" s="9">
        <v>246070</v>
      </c>
    </row>
    <row r="1507" spans="1:11" ht="15.75">
      <c r="A1507" s="5">
        <v>45529</v>
      </c>
      <c r="B1507" s="6" t="s">
        <v>12</v>
      </c>
      <c r="C1507" s="7">
        <v>13.72</v>
      </c>
      <c r="D1507" s="7">
        <v>10</v>
      </c>
      <c r="E1507" s="8">
        <v>4200</v>
      </c>
      <c r="F1507" s="6">
        <v>1900</v>
      </c>
      <c r="G1507" s="6">
        <v>6000</v>
      </c>
      <c r="H1507" s="9">
        <f t="shared" si="117"/>
        <v>12100</v>
      </c>
      <c r="I1507" s="9">
        <v>226033</v>
      </c>
      <c r="J1507" s="9">
        <v>238133</v>
      </c>
      <c r="K1507" s="9">
        <v>236975</v>
      </c>
    </row>
    <row r="1508" spans="1:11" ht="15.75">
      <c r="A1508" s="5">
        <v>45530</v>
      </c>
      <c r="B1508" s="6" t="s">
        <v>12</v>
      </c>
      <c r="C1508" s="7">
        <v>13.99</v>
      </c>
      <c r="D1508" s="7">
        <v>10.9</v>
      </c>
      <c r="E1508" s="8">
        <v>4200</v>
      </c>
      <c r="F1508" s="6">
        <v>1900</v>
      </c>
      <c r="G1508" s="6">
        <v>6000</v>
      </c>
      <c r="H1508" s="9">
        <f t="shared" si="117"/>
        <v>12100</v>
      </c>
      <c r="I1508" s="9">
        <v>245676</v>
      </c>
      <c r="J1508" s="9">
        <v>257776</v>
      </c>
      <c r="K1508" s="9">
        <v>259860</v>
      </c>
    </row>
    <row r="1509" spans="1:11" ht="15.75">
      <c r="A1509" s="5">
        <v>45531</v>
      </c>
      <c r="B1509" s="6" t="s">
        <v>12</v>
      </c>
      <c r="C1509" s="7">
        <v>13.99</v>
      </c>
      <c r="D1509" s="7">
        <v>10.9</v>
      </c>
      <c r="E1509" s="8">
        <v>4200</v>
      </c>
      <c r="F1509" s="6">
        <v>1900</v>
      </c>
      <c r="G1509" s="6">
        <v>6000</v>
      </c>
      <c r="H1509" s="9">
        <f t="shared" si="117"/>
        <v>12100</v>
      </c>
      <c r="I1509" s="9">
        <v>315174</v>
      </c>
      <c r="J1509" s="9">
        <v>327274</v>
      </c>
      <c r="K1509" s="9">
        <v>327274</v>
      </c>
    </row>
    <row r="1510" spans="1:11" ht="15.75">
      <c r="A1510" s="5">
        <v>45532</v>
      </c>
      <c r="B1510" s="6" t="s">
        <v>12</v>
      </c>
      <c r="C1510" s="7">
        <v>13.96</v>
      </c>
      <c r="D1510" s="7">
        <v>10.8</v>
      </c>
      <c r="E1510" s="8">
        <v>4200</v>
      </c>
      <c r="F1510" s="6">
        <v>1900</v>
      </c>
      <c r="G1510" s="6">
        <v>6000</v>
      </c>
      <c r="H1510" s="9">
        <f t="shared" si="117"/>
        <v>12100</v>
      </c>
      <c r="I1510" s="9">
        <v>381112</v>
      </c>
      <c r="J1510" s="9">
        <v>392212</v>
      </c>
      <c r="K1510" s="9">
        <v>392980</v>
      </c>
    </row>
    <row r="1511" spans="1:11" ht="15.75">
      <c r="A1511" s="5">
        <v>45533</v>
      </c>
      <c r="B1511" s="6" t="s">
        <v>12</v>
      </c>
      <c r="C1511" s="7">
        <v>13.6</v>
      </c>
      <c r="D1511" s="7">
        <v>9.6</v>
      </c>
      <c r="E1511" s="8">
        <v>4200</v>
      </c>
      <c r="F1511" s="6">
        <v>2100</v>
      </c>
      <c r="G1511" s="6">
        <v>7000</v>
      </c>
      <c r="H1511" s="9">
        <f t="shared" si="117"/>
        <v>13300</v>
      </c>
      <c r="I1511" s="9">
        <v>350957</v>
      </c>
      <c r="J1511" s="9">
        <v>364057</v>
      </c>
      <c r="K1511" s="9">
        <v>361279</v>
      </c>
    </row>
    <row r="1512" spans="1:11" ht="15.75">
      <c r="A1512" s="5">
        <v>45534</v>
      </c>
      <c r="B1512" s="6" t="s">
        <v>12</v>
      </c>
      <c r="C1512" s="7">
        <v>13.75</v>
      </c>
      <c r="D1512" s="7">
        <v>10.1</v>
      </c>
      <c r="E1512" s="8">
        <v>4200</v>
      </c>
      <c r="F1512" s="6">
        <v>2100</v>
      </c>
      <c r="G1512" s="6">
        <v>7000</v>
      </c>
      <c r="H1512" s="9">
        <f t="shared" si="117"/>
        <v>13300</v>
      </c>
      <c r="I1512" s="9">
        <v>314938</v>
      </c>
      <c r="J1512" s="9">
        <v>328238</v>
      </c>
      <c r="K1512" s="9">
        <v>329396</v>
      </c>
    </row>
    <row r="1513" spans="1:11" ht="15.75">
      <c r="A1513" s="5">
        <v>45535</v>
      </c>
      <c r="B1513" s="6" t="s">
        <v>12</v>
      </c>
      <c r="C1513" s="7">
        <v>13.18</v>
      </c>
      <c r="D1513" s="7">
        <v>10.199999999999999</v>
      </c>
      <c r="E1513" s="8">
        <v>3200</v>
      </c>
      <c r="F1513" s="6">
        <v>1000</v>
      </c>
      <c r="G1513" s="6">
        <v>7000</v>
      </c>
      <c r="H1513" s="9">
        <f t="shared" si="117"/>
        <v>11200</v>
      </c>
      <c r="I1513" s="9">
        <v>302063</v>
      </c>
      <c r="J1513" s="9">
        <v>313263</v>
      </c>
      <c r="K1513" s="9">
        <v>313495</v>
      </c>
    </row>
    <row r="1514" spans="1:11" ht="15.75">
      <c r="A1514" s="2" t="s">
        <v>13</v>
      </c>
      <c r="B1514" s="2"/>
      <c r="C1514" s="2"/>
      <c r="D1514" s="2"/>
      <c r="E1514" s="11">
        <f t="shared" ref="E1514:K1514" si="118">SUM(E1483:E1513)</f>
        <v>120900</v>
      </c>
      <c r="F1514" s="11">
        <f t="shared" si="118"/>
        <v>57500</v>
      </c>
      <c r="G1514" s="11">
        <f t="shared" si="118"/>
        <v>165000</v>
      </c>
      <c r="H1514" s="11">
        <f t="shared" si="118"/>
        <v>343400</v>
      </c>
      <c r="I1514" s="11">
        <f t="shared" si="118"/>
        <v>12906485</v>
      </c>
      <c r="J1514" s="11">
        <f t="shared" si="118"/>
        <v>13248385</v>
      </c>
      <c r="K1514" s="11">
        <f t="shared" si="118"/>
        <v>13247533</v>
      </c>
    </row>
    <row r="1515" spans="1:11" ht="15.75">
      <c r="A1515" s="12"/>
      <c r="B1515" s="2"/>
      <c r="C1515" s="2"/>
      <c r="D1515" s="2"/>
      <c r="E1515" s="13">
        <f t="shared" ref="E1515:K1515" si="119">SUM(E1514/11575)</f>
        <v>10.444924406047516</v>
      </c>
      <c r="F1515" s="13">
        <f t="shared" si="119"/>
        <v>4.967602591792657</v>
      </c>
      <c r="G1515" s="13">
        <f t="shared" si="119"/>
        <v>14.254859611231101</v>
      </c>
      <c r="H1515" s="13">
        <f t="shared" si="119"/>
        <v>29.667386609071276</v>
      </c>
      <c r="I1515" s="13">
        <f t="shared" si="119"/>
        <v>1115.0311015118791</v>
      </c>
      <c r="J1515" s="13">
        <f t="shared" si="119"/>
        <v>1144.568898488121</v>
      </c>
      <c r="K1515" s="13">
        <f t="shared" si="119"/>
        <v>1144.4952915766739</v>
      </c>
    </row>
    <row r="1516" spans="1:11" ht="15.75">
      <c r="A1516" s="1" t="s">
        <v>64</v>
      </c>
      <c r="B1516" s="1"/>
      <c r="C1516" s="1"/>
      <c r="D1516" s="1"/>
      <c r="E1516" s="1"/>
      <c r="F1516" s="1"/>
      <c r="G1516" s="1"/>
      <c r="H1516" s="1"/>
      <c r="I1516" s="1"/>
      <c r="J1516" s="1"/>
      <c r="K1516" s="1"/>
    </row>
    <row r="1517" spans="1:11" ht="47.25">
      <c r="A1517" s="2" t="s">
        <v>1</v>
      </c>
      <c r="B1517" s="2" t="s">
        <v>2</v>
      </c>
      <c r="C1517" s="3" t="s">
        <v>18</v>
      </c>
      <c r="D1517" s="3" t="s">
        <v>4</v>
      </c>
      <c r="E1517" s="3" t="s">
        <v>5</v>
      </c>
      <c r="F1517" s="3" t="s">
        <v>6</v>
      </c>
      <c r="G1517" s="3" t="s">
        <v>7</v>
      </c>
      <c r="H1517" s="3" t="s">
        <v>8</v>
      </c>
      <c r="I1517" s="3" t="s">
        <v>9</v>
      </c>
      <c r="J1517" s="3" t="s">
        <v>19</v>
      </c>
      <c r="K1517" s="4" t="s">
        <v>11</v>
      </c>
    </row>
    <row r="1518" spans="1:11" ht="15.75">
      <c r="A1518" s="5">
        <v>45536</v>
      </c>
      <c r="B1518" s="6" t="s">
        <v>12</v>
      </c>
      <c r="C1518" s="7">
        <v>13.99</v>
      </c>
      <c r="D1518" s="7">
        <v>10.9</v>
      </c>
      <c r="E1518" s="8">
        <v>1500</v>
      </c>
      <c r="F1518" s="8">
        <v>500</v>
      </c>
      <c r="G1518" s="8">
        <v>3000</v>
      </c>
      <c r="H1518" s="14">
        <f>E1518+F1518+G1518</f>
        <v>5000</v>
      </c>
      <c r="I1518" s="9">
        <v>384976</v>
      </c>
      <c r="J1518" s="9">
        <v>389976</v>
      </c>
      <c r="K1518" s="10">
        <v>391597</v>
      </c>
    </row>
    <row r="1519" spans="1:11" ht="15.75">
      <c r="A1519" s="5">
        <v>45537</v>
      </c>
      <c r="B1519" s="6" t="s">
        <v>12</v>
      </c>
      <c r="C1519" s="7">
        <v>13.78</v>
      </c>
      <c r="D1519" s="7">
        <v>10.199999999999999</v>
      </c>
      <c r="E1519" s="8">
        <v>1500</v>
      </c>
      <c r="F1519" s="8">
        <v>500</v>
      </c>
      <c r="G1519" s="8">
        <v>3000</v>
      </c>
      <c r="H1519" s="9">
        <f t="shared" ref="H1519:H1547" si="120">E1519+F1519+G1519</f>
        <v>5000</v>
      </c>
      <c r="I1519" s="9">
        <v>508943</v>
      </c>
      <c r="J1519" s="9">
        <v>511943</v>
      </c>
      <c r="K1519" s="10">
        <v>510322</v>
      </c>
    </row>
    <row r="1520" spans="1:11" ht="15.75">
      <c r="A1520" s="5">
        <v>45538</v>
      </c>
      <c r="B1520" s="6" t="s">
        <v>12</v>
      </c>
      <c r="C1520" s="7">
        <v>12.86</v>
      </c>
      <c r="D1520" s="7">
        <v>7.2</v>
      </c>
      <c r="E1520" s="8">
        <v>1500</v>
      </c>
      <c r="F1520" s="8">
        <v>500</v>
      </c>
      <c r="G1520" s="8">
        <v>1000</v>
      </c>
      <c r="H1520" s="9">
        <f t="shared" si="120"/>
        <v>3000</v>
      </c>
      <c r="I1520" s="9">
        <v>309057</v>
      </c>
      <c r="J1520" s="9">
        <v>312057</v>
      </c>
      <c r="K1520" s="10">
        <v>305043</v>
      </c>
    </row>
    <row r="1521" spans="1:11" ht="15.75">
      <c r="A1521" s="5">
        <v>45539</v>
      </c>
      <c r="B1521" s="6" t="s">
        <v>12</v>
      </c>
      <c r="C1521" s="7">
        <v>13.08</v>
      </c>
      <c r="D1521" s="7">
        <v>7.9</v>
      </c>
      <c r="E1521" s="8">
        <v>1500</v>
      </c>
      <c r="F1521" s="6">
        <v>500</v>
      </c>
      <c r="G1521" s="8">
        <v>1000</v>
      </c>
      <c r="H1521" s="9">
        <f t="shared" si="120"/>
        <v>3000</v>
      </c>
      <c r="I1521" s="9">
        <v>462543</v>
      </c>
      <c r="J1521" s="9">
        <v>465543</v>
      </c>
      <c r="K1521" s="10">
        <v>467189</v>
      </c>
    </row>
    <row r="1522" spans="1:11" ht="15.75">
      <c r="A1522" s="5">
        <v>45540</v>
      </c>
      <c r="B1522" s="6" t="s">
        <v>12</v>
      </c>
      <c r="C1522" s="7">
        <v>13.93</v>
      </c>
      <c r="D1522" s="7">
        <v>10.7</v>
      </c>
      <c r="E1522" s="8">
        <v>500</v>
      </c>
      <c r="F1522" s="6">
        <v>300</v>
      </c>
      <c r="G1522" s="8">
        <v>1000</v>
      </c>
      <c r="H1522" s="9">
        <f t="shared" si="120"/>
        <v>1800</v>
      </c>
      <c r="I1522" s="9">
        <v>836022</v>
      </c>
      <c r="J1522" s="9">
        <v>837822</v>
      </c>
      <c r="K1522" s="9">
        <v>837822</v>
      </c>
    </row>
    <row r="1523" spans="1:11" ht="15.75">
      <c r="A1523" s="5">
        <v>45541</v>
      </c>
      <c r="B1523" s="6" t="s">
        <v>12</v>
      </c>
      <c r="C1523" s="7">
        <v>14.42</v>
      </c>
      <c r="D1523" s="7">
        <v>12.3</v>
      </c>
      <c r="E1523" s="8">
        <v>500</v>
      </c>
      <c r="F1523" s="6">
        <v>300</v>
      </c>
      <c r="G1523" s="8">
        <v>1000</v>
      </c>
      <c r="H1523" s="9">
        <f t="shared" si="120"/>
        <v>1800</v>
      </c>
      <c r="I1523" s="9">
        <v>1052443</v>
      </c>
      <c r="J1523" s="9">
        <v>1054243</v>
      </c>
      <c r="K1523" s="10">
        <v>1054243</v>
      </c>
    </row>
    <row r="1524" spans="1:11" ht="15.75">
      <c r="A1524" s="5">
        <v>45542</v>
      </c>
      <c r="B1524" s="6" t="s">
        <v>12</v>
      </c>
      <c r="C1524" s="7">
        <v>14.26</v>
      </c>
      <c r="D1524" s="7">
        <v>11.8</v>
      </c>
      <c r="E1524" s="8">
        <v>500</v>
      </c>
      <c r="F1524" s="6">
        <v>800</v>
      </c>
      <c r="G1524" s="8">
        <v>1000</v>
      </c>
      <c r="H1524" s="9">
        <f t="shared" si="120"/>
        <v>2300</v>
      </c>
      <c r="I1524" s="9">
        <v>991879</v>
      </c>
      <c r="J1524" s="9">
        <v>994179</v>
      </c>
      <c r="K1524" s="10">
        <v>994179</v>
      </c>
    </row>
    <row r="1525" spans="1:11" ht="15.75">
      <c r="A1525" s="5">
        <v>45543</v>
      </c>
      <c r="B1525" s="6" t="s">
        <v>12</v>
      </c>
      <c r="C1525" s="7">
        <v>13.5</v>
      </c>
      <c r="D1525" s="7">
        <v>9.3000000000000007</v>
      </c>
      <c r="E1525" s="8">
        <v>1500</v>
      </c>
      <c r="F1525" s="6">
        <v>800</v>
      </c>
      <c r="G1525" s="8">
        <v>1000</v>
      </c>
      <c r="H1525" s="9">
        <f t="shared" si="120"/>
        <v>3300</v>
      </c>
      <c r="I1525" s="9">
        <v>656642</v>
      </c>
      <c r="J1525" s="9">
        <v>659942</v>
      </c>
      <c r="K1525" s="10">
        <v>659942</v>
      </c>
    </row>
    <row r="1526" spans="1:11" ht="15.75">
      <c r="A1526" s="5">
        <v>45544</v>
      </c>
      <c r="B1526" s="6" t="s">
        <v>12</v>
      </c>
      <c r="C1526" s="7">
        <v>12.83</v>
      </c>
      <c r="D1526" s="7">
        <v>7.1</v>
      </c>
      <c r="E1526" s="8">
        <v>500</v>
      </c>
      <c r="F1526" s="6">
        <v>800</v>
      </c>
      <c r="G1526" s="8">
        <v>1000</v>
      </c>
      <c r="H1526" s="9">
        <f t="shared" si="120"/>
        <v>2300</v>
      </c>
      <c r="I1526" s="9">
        <v>384267</v>
      </c>
      <c r="J1526" s="9">
        <v>386567</v>
      </c>
      <c r="K1526" s="10">
        <v>386567</v>
      </c>
    </row>
    <row r="1527" spans="1:11" ht="15.75">
      <c r="A1527" s="5">
        <v>45545</v>
      </c>
      <c r="B1527" s="6" t="s">
        <v>12</v>
      </c>
      <c r="C1527" s="7">
        <v>13.26</v>
      </c>
      <c r="D1527" s="7">
        <v>8.5</v>
      </c>
      <c r="E1527" s="8">
        <v>500</v>
      </c>
      <c r="F1527" s="6">
        <v>500</v>
      </c>
      <c r="G1527" s="8">
        <v>0</v>
      </c>
      <c r="H1527" s="9">
        <f t="shared" si="120"/>
        <v>1000</v>
      </c>
      <c r="I1527" s="9">
        <v>572806</v>
      </c>
      <c r="J1527" s="9">
        <v>573806</v>
      </c>
      <c r="K1527" s="9">
        <v>573806</v>
      </c>
    </row>
    <row r="1528" spans="1:11" ht="15.75">
      <c r="A1528" s="5">
        <v>45546</v>
      </c>
      <c r="B1528" s="6" t="s">
        <v>12</v>
      </c>
      <c r="C1528" s="7">
        <v>14.99</v>
      </c>
      <c r="D1528" s="7">
        <v>14.2</v>
      </c>
      <c r="E1528" s="8">
        <v>2500</v>
      </c>
      <c r="F1528" s="6">
        <v>1000</v>
      </c>
      <c r="G1528" s="8">
        <v>0</v>
      </c>
      <c r="H1528" s="9">
        <f t="shared" si="120"/>
        <v>3500</v>
      </c>
      <c r="I1528" s="9">
        <v>1337337</v>
      </c>
      <c r="J1528" s="9">
        <v>1340837</v>
      </c>
      <c r="K1528" s="10">
        <v>1340837</v>
      </c>
    </row>
    <row r="1529" spans="1:11" ht="15.75">
      <c r="A1529" s="5">
        <v>45547</v>
      </c>
      <c r="B1529" s="6" t="s">
        <v>12</v>
      </c>
      <c r="C1529" s="7">
        <v>15.33</v>
      </c>
      <c r="D1529" s="7">
        <v>15.3</v>
      </c>
      <c r="E1529" s="8">
        <v>3200</v>
      </c>
      <c r="F1529" s="6">
        <v>1500</v>
      </c>
      <c r="G1529" s="8">
        <v>0</v>
      </c>
      <c r="H1529" s="9">
        <f t="shared" si="120"/>
        <v>4700</v>
      </c>
      <c r="I1529" s="9">
        <v>1524487</v>
      </c>
      <c r="J1529" s="9">
        <v>1529187</v>
      </c>
      <c r="K1529" s="9">
        <v>1529187</v>
      </c>
    </row>
    <row r="1530" spans="1:11" ht="15.75">
      <c r="A1530" s="5">
        <v>45548</v>
      </c>
      <c r="B1530" s="6" t="s">
        <v>12</v>
      </c>
      <c r="C1530" s="7">
        <v>14.75</v>
      </c>
      <c r="D1530" s="7">
        <v>13.4</v>
      </c>
      <c r="E1530" s="8">
        <v>4200</v>
      </c>
      <c r="F1530" s="6">
        <v>2000</v>
      </c>
      <c r="G1530" s="8">
        <v>3000</v>
      </c>
      <c r="H1530" s="9">
        <f t="shared" si="120"/>
        <v>9200</v>
      </c>
      <c r="I1530" s="9">
        <v>1219029</v>
      </c>
      <c r="J1530" s="9">
        <v>1228229</v>
      </c>
      <c r="K1530" s="10">
        <v>1228229</v>
      </c>
    </row>
    <row r="1531" spans="1:11" ht="15.75">
      <c r="A1531" s="5">
        <v>45549</v>
      </c>
      <c r="B1531" s="6" t="s">
        <v>12</v>
      </c>
      <c r="C1531" s="7">
        <v>14.02</v>
      </c>
      <c r="D1531" s="7">
        <v>11</v>
      </c>
      <c r="E1531" s="8">
        <v>4200</v>
      </c>
      <c r="F1531" s="6">
        <v>2300</v>
      </c>
      <c r="G1531" s="6">
        <v>3000</v>
      </c>
      <c r="H1531" s="9">
        <f t="shared" si="120"/>
        <v>9500</v>
      </c>
      <c r="I1531" s="9">
        <v>888353</v>
      </c>
      <c r="J1531" s="9">
        <v>897853</v>
      </c>
      <c r="K1531" s="10">
        <v>897853</v>
      </c>
    </row>
    <row r="1532" spans="1:11" ht="15.75">
      <c r="A1532" s="5">
        <v>45550</v>
      </c>
      <c r="B1532" s="6" t="s">
        <v>12</v>
      </c>
      <c r="C1532" s="7">
        <v>13.66</v>
      </c>
      <c r="D1532" s="7">
        <v>9.8000000000000007</v>
      </c>
      <c r="E1532" s="8">
        <v>4400</v>
      </c>
      <c r="F1532" s="6">
        <v>2300</v>
      </c>
      <c r="G1532" s="6">
        <v>6000</v>
      </c>
      <c r="H1532" s="9">
        <f t="shared" si="120"/>
        <v>12700</v>
      </c>
      <c r="I1532" s="9">
        <v>728636</v>
      </c>
      <c r="J1532" s="9">
        <v>741336</v>
      </c>
      <c r="K1532" s="9">
        <v>741336</v>
      </c>
    </row>
    <row r="1533" spans="1:11" ht="15.75">
      <c r="A1533" s="5">
        <v>45551</v>
      </c>
      <c r="B1533" s="6" t="s">
        <v>12</v>
      </c>
      <c r="C1533" s="7">
        <v>13.35</v>
      </c>
      <c r="D1533" s="7">
        <v>8.8000000000000007</v>
      </c>
      <c r="E1533" s="8">
        <v>4600</v>
      </c>
      <c r="F1533" s="6">
        <v>2300</v>
      </c>
      <c r="G1533" s="6">
        <v>6000</v>
      </c>
      <c r="H1533" s="9">
        <f t="shared" si="120"/>
        <v>12900</v>
      </c>
      <c r="I1533" s="9">
        <v>612624</v>
      </c>
      <c r="J1533" s="9">
        <v>625524</v>
      </c>
      <c r="K1533" s="10">
        <v>625524</v>
      </c>
    </row>
    <row r="1534" spans="1:11" ht="15.75">
      <c r="A1534" s="5">
        <v>45552</v>
      </c>
      <c r="B1534" s="6" t="s">
        <v>12</v>
      </c>
      <c r="C1534" s="7">
        <v>12.68</v>
      </c>
      <c r="D1534" s="7">
        <v>6.6</v>
      </c>
      <c r="E1534" s="8">
        <v>3500</v>
      </c>
      <c r="F1534" s="6">
        <v>2300</v>
      </c>
      <c r="G1534" s="6">
        <v>5300</v>
      </c>
      <c r="H1534" s="9">
        <f t="shared" si="120"/>
        <v>11100</v>
      </c>
      <c r="I1534" s="9">
        <v>350647</v>
      </c>
      <c r="J1534" s="9">
        <v>361747</v>
      </c>
      <c r="K1534" s="10">
        <v>356715</v>
      </c>
    </row>
    <row r="1535" spans="1:11" ht="15.75">
      <c r="A1535" s="5">
        <v>45553</v>
      </c>
      <c r="B1535" s="6" t="s">
        <v>12</v>
      </c>
      <c r="C1535" s="7">
        <v>13.99</v>
      </c>
      <c r="D1535" s="7">
        <v>10.9</v>
      </c>
      <c r="E1535" s="8">
        <v>4600</v>
      </c>
      <c r="F1535" s="6">
        <v>2300</v>
      </c>
      <c r="G1535" s="6">
        <v>6500</v>
      </c>
      <c r="H1535" s="9">
        <f t="shared" si="120"/>
        <v>13400</v>
      </c>
      <c r="I1535" s="9">
        <v>263802</v>
      </c>
      <c r="J1535" s="9">
        <v>277202</v>
      </c>
      <c r="K1535" s="9">
        <v>287173</v>
      </c>
    </row>
    <row r="1536" spans="1:11" ht="15.75">
      <c r="A1536" s="5">
        <v>45554</v>
      </c>
      <c r="B1536" s="6" t="s">
        <v>12</v>
      </c>
      <c r="C1536" s="7">
        <v>13.99</v>
      </c>
      <c r="D1536" s="7">
        <v>10.9</v>
      </c>
      <c r="E1536" s="8">
        <v>4700</v>
      </c>
      <c r="F1536" s="6">
        <v>2500</v>
      </c>
      <c r="G1536" s="6">
        <v>7000</v>
      </c>
      <c r="H1536" s="9">
        <f t="shared" si="120"/>
        <v>14200</v>
      </c>
      <c r="I1536" s="9">
        <v>202066</v>
      </c>
      <c r="J1536" s="9">
        <v>216266</v>
      </c>
      <c r="K1536" s="10">
        <v>216266</v>
      </c>
    </row>
    <row r="1537" spans="1:11" ht="15.75">
      <c r="A1537" s="5">
        <v>45555</v>
      </c>
      <c r="B1537" s="6" t="s">
        <v>12</v>
      </c>
      <c r="C1537" s="7">
        <v>13.99</v>
      </c>
      <c r="D1537" s="7">
        <v>10.9</v>
      </c>
      <c r="E1537" s="8">
        <v>4700</v>
      </c>
      <c r="F1537" s="6">
        <v>2500</v>
      </c>
      <c r="G1537" s="6">
        <v>7000</v>
      </c>
      <c r="H1537" s="9">
        <f t="shared" si="120"/>
        <v>14200</v>
      </c>
      <c r="I1537" s="9">
        <v>201697</v>
      </c>
      <c r="J1537" s="9">
        <v>215897</v>
      </c>
      <c r="K1537" s="9">
        <v>215897</v>
      </c>
    </row>
    <row r="1538" spans="1:11" ht="15.75">
      <c r="A1538" s="5">
        <v>45556</v>
      </c>
      <c r="B1538" s="6" t="s">
        <v>12</v>
      </c>
      <c r="C1538" s="7">
        <v>13.99</v>
      </c>
      <c r="D1538" s="7">
        <v>10.9</v>
      </c>
      <c r="E1538" s="8">
        <v>4700</v>
      </c>
      <c r="F1538" s="6">
        <v>2500</v>
      </c>
      <c r="G1538" s="6">
        <v>7000</v>
      </c>
      <c r="H1538" s="9">
        <f t="shared" si="120"/>
        <v>14200</v>
      </c>
      <c r="I1538" s="9">
        <v>162276</v>
      </c>
      <c r="J1538" s="9">
        <v>176476</v>
      </c>
      <c r="K1538" s="9">
        <v>176476</v>
      </c>
    </row>
    <row r="1539" spans="1:11" ht="15.75">
      <c r="A1539" s="5">
        <v>45557</v>
      </c>
      <c r="B1539" s="6" t="s">
        <v>12</v>
      </c>
      <c r="C1539" s="7">
        <v>13.99</v>
      </c>
      <c r="D1539" s="7">
        <v>10.9</v>
      </c>
      <c r="E1539" s="8">
        <v>4700</v>
      </c>
      <c r="F1539" s="6">
        <v>2500</v>
      </c>
      <c r="G1539" s="6">
        <v>7000</v>
      </c>
      <c r="H1539" s="9">
        <f t="shared" si="120"/>
        <v>14200</v>
      </c>
      <c r="I1539" s="9">
        <v>162276</v>
      </c>
      <c r="J1539" s="9">
        <v>176476</v>
      </c>
      <c r="K1539" s="9">
        <v>176476</v>
      </c>
    </row>
    <row r="1540" spans="1:11" ht="15.75">
      <c r="A1540" s="5">
        <v>45558</v>
      </c>
      <c r="B1540" s="6" t="s">
        <v>12</v>
      </c>
      <c r="C1540" s="7">
        <v>13.99</v>
      </c>
      <c r="D1540" s="7">
        <v>10.9</v>
      </c>
      <c r="E1540" s="8">
        <v>4700</v>
      </c>
      <c r="F1540" s="6">
        <v>2500</v>
      </c>
      <c r="G1540" s="6">
        <v>7000</v>
      </c>
      <c r="H1540" s="9">
        <f t="shared" si="120"/>
        <v>14200</v>
      </c>
      <c r="I1540" s="9">
        <v>162276</v>
      </c>
      <c r="J1540" s="9">
        <v>176476</v>
      </c>
      <c r="K1540" s="9">
        <v>176476</v>
      </c>
    </row>
    <row r="1541" spans="1:11" ht="15.75">
      <c r="A1541" s="5">
        <v>45559</v>
      </c>
      <c r="B1541" s="6" t="s">
        <v>12</v>
      </c>
      <c r="C1541" s="7">
        <v>13.99</v>
      </c>
      <c r="D1541" s="7">
        <v>10.9</v>
      </c>
      <c r="E1541" s="8">
        <v>4700</v>
      </c>
      <c r="F1541" s="6">
        <v>2500</v>
      </c>
      <c r="G1541" s="6">
        <v>7000</v>
      </c>
      <c r="H1541" s="9">
        <f t="shared" si="120"/>
        <v>14200</v>
      </c>
      <c r="I1541" s="9">
        <v>162276</v>
      </c>
      <c r="J1541" s="9">
        <v>176476</v>
      </c>
      <c r="K1541" s="9">
        <v>176476</v>
      </c>
    </row>
    <row r="1542" spans="1:11" ht="15.75">
      <c r="A1542" s="5">
        <v>45560</v>
      </c>
      <c r="B1542" s="6" t="s">
        <v>12</v>
      </c>
      <c r="C1542" s="7">
        <v>13.99</v>
      </c>
      <c r="D1542" s="7">
        <v>10.9</v>
      </c>
      <c r="E1542" s="8">
        <v>3200</v>
      </c>
      <c r="F1542" s="6">
        <v>1500</v>
      </c>
      <c r="G1542" s="6">
        <v>7000</v>
      </c>
      <c r="H1542" s="9">
        <f t="shared" si="120"/>
        <v>11700</v>
      </c>
      <c r="I1542" s="9">
        <v>162276</v>
      </c>
      <c r="J1542" s="9">
        <v>173976</v>
      </c>
      <c r="K1542" s="9">
        <v>173976</v>
      </c>
    </row>
    <row r="1543" spans="1:11" ht="15.75">
      <c r="A1543" s="5">
        <v>45561</v>
      </c>
      <c r="B1543" s="6" t="s">
        <v>12</v>
      </c>
      <c r="C1543" s="7">
        <v>13.99</v>
      </c>
      <c r="D1543" s="7">
        <v>10.9</v>
      </c>
      <c r="E1543" s="8">
        <v>3200</v>
      </c>
      <c r="F1543" s="6">
        <v>1500</v>
      </c>
      <c r="G1543" s="6">
        <v>5000</v>
      </c>
      <c r="H1543" s="9">
        <f t="shared" si="120"/>
        <v>9700</v>
      </c>
      <c r="I1543" s="9">
        <v>170803</v>
      </c>
      <c r="J1543" s="9">
        <v>180503</v>
      </c>
      <c r="K1543" s="9">
        <v>180503</v>
      </c>
    </row>
    <row r="1544" spans="1:11" ht="15.75">
      <c r="A1544" s="5">
        <v>45562</v>
      </c>
      <c r="B1544" s="6" t="s">
        <v>12</v>
      </c>
      <c r="C1544" s="7">
        <v>13.99</v>
      </c>
      <c r="D1544" s="7">
        <v>10.9</v>
      </c>
      <c r="E1544" s="8">
        <v>3200</v>
      </c>
      <c r="F1544" s="6">
        <v>1500</v>
      </c>
      <c r="G1544" s="6">
        <v>5000</v>
      </c>
      <c r="H1544" s="9">
        <f t="shared" si="120"/>
        <v>9700</v>
      </c>
      <c r="I1544" s="9">
        <v>170803</v>
      </c>
      <c r="J1544" s="9">
        <v>180503</v>
      </c>
      <c r="K1544" s="9">
        <v>180503</v>
      </c>
    </row>
    <row r="1545" spans="1:11" ht="15.75">
      <c r="A1545" s="5">
        <v>45563</v>
      </c>
      <c r="B1545" s="6" t="s">
        <v>12</v>
      </c>
      <c r="C1545" s="7">
        <v>13.87</v>
      </c>
      <c r="D1545" s="7">
        <v>10.5</v>
      </c>
      <c r="E1545" s="8">
        <v>2700</v>
      </c>
      <c r="F1545" s="6">
        <v>1500</v>
      </c>
      <c r="G1545" s="6">
        <v>5000</v>
      </c>
      <c r="H1545" s="9">
        <f t="shared" si="120"/>
        <v>9200</v>
      </c>
      <c r="I1545" s="9">
        <v>209996</v>
      </c>
      <c r="J1545" s="9">
        <v>219196</v>
      </c>
      <c r="K1545" s="9">
        <v>218270</v>
      </c>
    </row>
    <row r="1546" spans="1:11" ht="15.75">
      <c r="A1546" s="5">
        <v>45564</v>
      </c>
      <c r="B1546" s="6" t="s">
        <v>12</v>
      </c>
      <c r="C1546" s="7">
        <v>13.81</v>
      </c>
      <c r="D1546" s="7">
        <v>10.3</v>
      </c>
      <c r="E1546" s="8">
        <v>2700</v>
      </c>
      <c r="F1546" s="6">
        <v>1500</v>
      </c>
      <c r="G1546" s="6">
        <v>5000</v>
      </c>
      <c r="H1546" s="9">
        <f t="shared" si="120"/>
        <v>9200</v>
      </c>
      <c r="I1546" s="9">
        <v>250019</v>
      </c>
      <c r="J1546" s="9">
        <v>259219</v>
      </c>
      <c r="K1546" s="9">
        <v>258756</v>
      </c>
    </row>
    <row r="1547" spans="1:11" ht="15.75">
      <c r="A1547" s="5">
        <v>45565</v>
      </c>
      <c r="B1547" s="6" t="s">
        <v>12</v>
      </c>
      <c r="C1547" s="7">
        <v>13.72</v>
      </c>
      <c r="D1547" s="7">
        <v>10</v>
      </c>
      <c r="E1547" s="8">
        <v>3600</v>
      </c>
      <c r="F1547" s="6">
        <v>1500</v>
      </c>
      <c r="G1547" s="6">
        <v>5000</v>
      </c>
      <c r="H1547" s="9">
        <f t="shared" si="120"/>
        <v>10100</v>
      </c>
      <c r="I1547" s="9">
        <v>297977</v>
      </c>
      <c r="J1547" s="9">
        <v>308077</v>
      </c>
      <c r="K1547" s="9">
        <v>307382</v>
      </c>
    </row>
    <row r="1548" spans="1:11" ht="15.75">
      <c r="A1548" s="2" t="s">
        <v>13</v>
      </c>
      <c r="B1548" s="2"/>
      <c r="C1548" s="2"/>
      <c r="D1548" s="2"/>
      <c r="E1548" s="11">
        <f t="shared" ref="E1548:K1548" si="121">SUM(E1518:E1547)</f>
        <v>88000</v>
      </c>
      <c r="F1548" s="11">
        <f t="shared" si="121"/>
        <v>45500</v>
      </c>
      <c r="G1548" s="11">
        <f t="shared" si="121"/>
        <v>116800</v>
      </c>
      <c r="H1548" s="11">
        <f t="shared" si="121"/>
        <v>250300</v>
      </c>
      <c r="I1548" s="11">
        <f t="shared" si="121"/>
        <v>15399234</v>
      </c>
      <c r="J1548" s="11">
        <f t="shared" si="121"/>
        <v>15647534</v>
      </c>
      <c r="K1548" s="11">
        <f t="shared" si="121"/>
        <v>15645021</v>
      </c>
    </row>
    <row r="1549" spans="1:11" ht="15.75">
      <c r="A1549" s="12"/>
      <c r="B1549" s="2"/>
      <c r="C1549" s="2"/>
      <c r="D1549" s="2"/>
      <c r="E1549" s="13">
        <f t="shared" ref="E1549:K1549" si="122">SUM(E1548/11575)</f>
        <v>7.6025917926565878</v>
      </c>
      <c r="F1549" s="13">
        <f t="shared" si="122"/>
        <v>3.9308855291576674</v>
      </c>
      <c r="G1549" s="13">
        <f t="shared" si="122"/>
        <v>10.090712742980562</v>
      </c>
      <c r="H1549" s="13">
        <f t="shared" si="122"/>
        <v>21.624190064794817</v>
      </c>
      <c r="I1549" s="13">
        <f t="shared" si="122"/>
        <v>1330.3873866090712</v>
      </c>
      <c r="J1549" s="13">
        <f t="shared" si="122"/>
        <v>1351.8387904967603</v>
      </c>
      <c r="K1549" s="13">
        <f t="shared" si="122"/>
        <v>1351.6216846652269</v>
      </c>
    </row>
    <row r="1550" spans="1:11" ht="15.75">
      <c r="A1550" s="1" t="s">
        <v>65</v>
      </c>
      <c r="B1550" s="1"/>
      <c r="C1550" s="1"/>
      <c r="D1550" s="1"/>
      <c r="E1550" s="1"/>
      <c r="F1550" s="1"/>
      <c r="G1550" s="1"/>
      <c r="H1550" s="1"/>
      <c r="I1550" s="1"/>
      <c r="J1550" s="1"/>
      <c r="K1550" s="1"/>
    </row>
    <row r="1551" spans="1:11" ht="47.25">
      <c r="A1551" s="2" t="s">
        <v>1</v>
      </c>
      <c r="B1551" s="2" t="s">
        <v>2</v>
      </c>
      <c r="C1551" s="3" t="s">
        <v>18</v>
      </c>
      <c r="D1551" s="3" t="s">
        <v>4</v>
      </c>
      <c r="E1551" s="3" t="s">
        <v>5</v>
      </c>
      <c r="F1551" s="3" t="s">
        <v>6</v>
      </c>
      <c r="G1551" s="3" t="s">
        <v>7</v>
      </c>
      <c r="H1551" s="3" t="s">
        <v>8</v>
      </c>
      <c r="I1551" s="3" t="s">
        <v>9</v>
      </c>
      <c r="J1551" s="3" t="s">
        <v>19</v>
      </c>
      <c r="K1551" s="4" t="s">
        <v>11</v>
      </c>
    </row>
    <row r="1552" spans="1:11" ht="15.75">
      <c r="A1552" s="5">
        <v>45566</v>
      </c>
      <c r="B1552" s="6" t="s">
        <v>12</v>
      </c>
      <c r="C1552" s="7">
        <v>13.64</v>
      </c>
      <c r="D1552" s="7">
        <v>9.75</v>
      </c>
      <c r="E1552" s="8">
        <v>3600</v>
      </c>
      <c r="F1552" s="8">
        <v>2000</v>
      </c>
      <c r="G1552" s="8">
        <v>5000</v>
      </c>
      <c r="H1552" s="14">
        <f>E1552+F1552+G1552</f>
        <v>10600</v>
      </c>
      <c r="I1552" s="9">
        <v>293035</v>
      </c>
      <c r="J1552" s="9">
        <v>303635</v>
      </c>
      <c r="K1552" s="10">
        <v>303018</v>
      </c>
    </row>
    <row r="1553" spans="1:11" ht="15.75">
      <c r="A1553" s="5">
        <v>45567</v>
      </c>
      <c r="B1553" s="6" t="s">
        <v>12</v>
      </c>
      <c r="C1553" s="7">
        <v>13.99</v>
      </c>
      <c r="D1553" s="7">
        <v>10.9</v>
      </c>
      <c r="E1553" s="8">
        <v>3600</v>
      </c>
      <c r="F1553" s="8">
        <v>2000</v>
      </c>
      <c r="G1553" s="8">
        <v>6000</v>
      </c>
      <c r="H1553" s="9">
        <f t="shared" ref="H1553:H1582" si="123">E1553+F1553+G1553</f>
        <v>11600</v>
      </c>
      <c r="I1553" s="9">
        <v>288317</v>
      </c>
      <c r="J1553" s="9">
        <v>299917</v>
      </c>
      <c r="K1553" s="10">
        <v>302617</v>
      </c>
    </row>
    <row r="1554" spans="1:11" ht="15.75">
      <c r="A1554" s="5">
        <v>45568</v>
      </c>
      <c r="B1554" s="6" t="s">
        <v>12</v>
      </c>
      <c r="C1554" s="7">
        <v>13.63</v>
      </c>
      <c r="D1554" s="7">
        <v>9.6999999999999993</v>
      </c>
      <c r="E1554" s="8">
        <v>4200</v>
      </c>
      <c r="F1554" s="8">
        <v>2500</v>
      </c>
      <c r="G1554" s="8">
        <v>6000</v>
      </c>
      <c r="H1554" s="9">
        <f t="shared" si="123"/>
        <v>12700</v>
      </c>
      <c r="I1554" s="9">
        <v>278116</v>
      </c>
      <c r="J1554" s="9">
        <v>290816</v>
      </c>
      <c r="K1554" s="10">
        <v>288038</v>
      </c>
    </row>
    <row r="1555" spans="1:11" ht="15.75">
      <c r="A1555" s="5">
        <v>45569</v>
      </c>
      <c r="B1555" s="6" t="s">
        <v>12</v>
      </c>
      <c r="C1555" s="7">
        <v>13.99</v>
      </c>
      <c r="D1555" s="7">
        <v>10.9</v>
      </c>
      <c r="E1555" s="8">
        <v>4200</v>
      </c>
      <c r="F1555" s="6">
        <v>2500</v>
      </c>
      <c r="G1555" s="8">
        <v>6000</v>
      </c>
      <c r="H1555" s="9">
        <f t="shared" si="123"/>
        <v>12700</v>
      </c>
      <c r="I1555" s="9">
        <v>201790</v>
      </c>
      <c r="J1555" s="9">
        <v>214490</v>
      </c>
      <c r="K1555" s="10">
        <v>217268</v>
      </c>
    </row>
    <row r="1556" spans="1:11" ht="15.75">
      <c r="A1556" s="5">
        <v>45570</v>
      </c>
      <c r="B1556" s="6" t="s">
        <v>12</v>
      </c>
      <c r="C1556" s="7">
        <v>13.99</v>
      </c>
      <c r="D1556" s="7">
        <v>10.9</v>
      </c>
      <c r="E1556" s="8">
        <v>4500</v>
      </c>
      <c r="F1556" s="6">
        <v>2500</v>
      </c>
      <c r="G1556" s="8">
        <v>7000</v>
      </c>
      <c r="H1556" s="9">
        <f t="shared" si="123"/>
        <v>14000</v>
      </c>
      <c r="I1556" s="9">
        <v>173645</v>
      </c>
      <c r="J1556" s="9">
        <v>187645</v>
      </c>
      <c r="K1556" s="9">
        <v>187645</v>
      </c>
    </row>
    <row r="1557" spans="1:11" ht="15.75">
      <c r="A1557" s="5">
        <v>45571</v>
      </c>
      <c r="B1557" s="6" t="s">
        <v>12</v>
      </c>
      <c r="C1557" s="7">
        <v>13.99</v>
      </c>
      <c r="D1557" s="7">
        <v>10.9</v>
      </c>
      <c r="E1557" s="8">
        <v>4500</v>
      </c>
      <c r="F1557" s="6">
        <v>2500</v>
      </c>
      <c r="G1557" s="8">
        <v>7000</v>
      </c>
      <c r="H1557" s="9">
        <f t="shared" si="123"/>
        <v>14000</v>
      </c>
      <c r="I1557" s="9">
        <v>162276</v>
      </c>
      <c r="J1557" s="9">
        <v>176276</v>
      </c>
      <c r="K1557" s="10">
        <v>176276</v>
      </c>
    </row>
    <row r="1558" spans="1:11" ht="15.75">
      <c r="A1558" s="5">
        <v>45572</v>
      </c>
      <c r="B1558" s="6" t="s">
        <v>12</v>
      </c>
      <c r="C1558" s="7">
        <v>13.87</v>
      </c>
      <c r="D1558" s="7">
        <v>10.5</v>
      </c>
      <c r="E1558" s="8">
        <v>4500</v>
      </c>
      <c r="F1558" s="6">
        <v>2500</v>
      </c>
      <c r="G1558" s="8">
        <v>7000</v>
      </c>
      <c r="H1558" s="9">
        <f t="shared" si="123"/>
        <v>14000</v>
      </c>
      <c r="I1558" s="9">
        <v>157876</v>
      </c>
      <c r="J1558" s="9">
        <v>171876</v>
      </c>
      <c r="K1558" s="10">
        <v>170950</v>
      </c>
    </row>
    <row r="1559" spans="1:11" ht="15.75">
      <c r="A1559" s="5">
        <v>45573</v>
      </c>
      <c r="B1559" s="6" t="s">
        <v>12</v>
      </c>
      <c r="C1559" s="7">
        <v>13.99</v>
      </c>
      <c r="D1559" s="7">
        <v>10.9</v>
      </c>
      <c r="E1559" s="8">
        <v>4700</v>
      </c>
      <c r="F1559" s="6">
        <v>2500</v>
      </c>
      <c r="G1559" s="8">
        <v>7000</v>
      </c>
      <c r="H1559" s="9">
        <f t="shared" si="123"/>
        <v>14200</v>
      </c>
      <c r="I1559" s="9">
        <v>98476</v>
      </c>
      <c r="J1559" s="9">
        <v>112676</v>
      </c>
      <c r="K1559" s="10">
        <v>113602</v>
      </c>
    </row>
    <row r="1560" spans="1:11" ht="15.75">
      <c r="A1560" s="5">
        <v>45574</v>
      </c>
      <c r="B1560" s="6" t="s">
        <v>12</v>
      </c>
      <c r="C1560" s="7">
        <v>13.99</v>
      </c>
      <c r="D1560" s="7">
        <v>10.9</v>
      </c>
      <c r="E1560" s="8">
        <v>4700</v>
      </c>
      <c r="F1560" s="6">
        <v>2500</v>
      </c>
      <c r="G1560" s="8">
        <v>7000</v>
      </c>
      <c r="H1560" s="9">
        <f t="shared" si="123"/>
        <v>14200</v>
      </c>
      <c r="I1560" s="9">
        <v>74151</v>
      </c>
      <c r="J1560" s="9">
        <v>88351</v>
      </c>
      <c r="K1560" s="10">
        <v>88351</v>
      </c>
    </row>
    <row r="1561" spans="1:11" ht="15.75">
      <c r="A1561" s="5">
        <v>45575</v>
      </c>
      <c r="B1561" s="6" t="s">
        <v>12</v>
      </c>
      <c r="C1561" s="7">
        <v>13.99</v>
      </c>
      <c r="D1561" s="7">
        <v>10.9</v>
      </c>
      <c r="E1561" s="8">
        <v>4700</v>
      </c>
      <c r="F1561" s="6">
        <v>2500</v>
      </c>
      <c r="G1561" s="8">
        <v>5000</v>
      </c>
      <c r="H1561" s="9">
        <f t="shared" si="123"/>
        <v>12200</v>
      </c>
      <c r="I1561" s="9">
        <v>98536</v>
      </c>
      <c r="J1561" s="9">
        <v>110736</v>
      </c>
      <c r="K1561" s="9">
        <v>110736</v>
      </c>
    </row>
    <row r="1562" spans="1:11" ht="15.75">
      <c r="A1562" s="5">
        <v>45576</v>
      </c>
      <c r="B1562" s="6" t="s">
        <v>12</v>
      </c>
      <c r="C1562" s="7">
        <v>13.99</v>
      </c>
      <c r="D1562" s="7">
        <v>10.9</v>
      </c>
      <c r="E1562" s="8">
        <v>4700</v>
      </c>
      <c r="F1562" s="6">
        <v>2300</v>
      </c>
      <c r="G1562" s="8">
        <v>5000</v>
      </c>
      <c r="H1562" s="9">
        <f t="shared" si="123"/>
        <v>12000</v>
      </c>
      <c r="I1562" s="9">
        <v>55862</v>
      </c>
      <c r="J1562" s="9">
        <v>67862</v>
      </c>
      <c r="K1562" s="10">
        <v>67862</v>
      </c>
    </row>
    <row r="1563" spans="1:11" ht="15.75">
      <c r="A1563" s="5">
        <v>45577</v>
      </c>
      <c r="B1563" s="6" t="s">
        <v>12</v>
      </c>
      <c r="C1563" s="7">
        <v>13.99</v>
      </c>
      <c r="D1563" s="7">
        <v>10.9</v>
      </c>
      <c r="E1563" s="8">
        <v>4700</v>
      </c>
      <c r="F1563" s="6">
        <v>2300</v>
      </c>
      <c r="G1563" s="8">
        <v>5000</v>
      </c>
      <c r="H1563" s="9">
        <f t="shared" si="123"/>
        <v>12000</v>
      </c>
      <c r="I1563" s="9">
        <v>55862</v>
      </c>
      <c r="J1563" s="9">
        <v>67862</v>
      </c>
      <c r="K1563" s="10">
        <v>67862</v>
      </c>
    </row>
    <row r="1564" spans="1:11" ht="15.75">
      <c r="A1564" s="5">
        <v>45578</v>
      </c>
      <c r="B1564" s="6" t="s">
        <v>12</v>
      </c>
      <c r="C1564" s="7">
        <v>13.99</v>
      </c>
      <c r="D1564" s="7">
        <v>10.9</v>
      </c>
      <c r="E1564" s="8">
        <v>4700</v>
      </c>
      <c r="F1564" s="6">
        <v>2300</v>
      </c>
      <c r="G1564" s="8">
        <v>5000</v>
      </c>
      <c r="H1564" s="9">
        <f t="shared" si="123"/>
        <v>12000</v>
      </c>
      <c r="I1564" s="9">
        <v>55862</v>
      </c>
      <c r="J1564" s="9">
        <v>67862</v>
      </c>
      <c r="K1564" s="10">
        <v>67862</v>
      </c>
    </row>
    <row r="1565" spans="1:11" ht="15.75">
      <c r="A1565" s="5">
        <v>45579</v>
      </c>
      <c r="B1565" s="6" t="s">
        <v>12</v>
      </c>
      <c r="C1565" s="7">
        <v>13.99</v>
      </c>
      <c r="D1565" s="7">
        <v>10.9</v>
      </c>
      <c r="E1565" s="8">
        <v>4700</v>
      </c>
      <c r="F1565" s="6">
        <v>2300</v>
      </c>
      <c r="G1565" s="8">
        <v>5000</v>
      </c>
      <c r="H1565" s="9">
        <f t="shared" si="123"/>
        <v>12000</v>
      </c>
      <c r="I1565" s="9">
        <v>61896</v>
      </c>
      <c r="J1565" s="9">
        <v>73896</v>
      </c>
      <c r="K1565" s="10">
        <v>73896</v>
      </c>
    </row>
    <row r="1566" spans="1:11" ht="15.75">
      <c r="A1566" s="5">
        <v>45580</v>
      </c>
      <c r="B1566" s="6" t="s">
        <v>12</v>
      </c>
      <c r="C1566" s="7">
        <v>13.99</v>
      </c>
      <c r="D1566" s="7">
        <v>10.9</v>
      </c>
      <c r="E1566" s="8">
        <v>3600</v>
      </c>
      <c r="F1566" s="6">
        <v>1800</v>
      </c>
      <c r="G1566" s="6">
        <v>4000</v>
      </c>
      <c r="H1566" s="9">
        <f t="shared" si="123"/>
        <v>9400</v>
      </c>
      <c r="I1566" s="9">
        <v>92408</v>
      </c>
      <c r="J1566" s="9">
        <v>101808</v>
      </c>
      <c r="K1566" s="9">
        <v>101808</v>
      </c>
    </row>
    <row r="1567" spans="1:11" ht="15.75">
      <c r="A1567" s="5">
        <v>45581</v>
      </c>
      <c r="B1567" s="6" t="s">
        <v>12</v>
      </c>
      <c r="C1567" s="7">
        <v>13.99</v>
      </c>
      <c r="D1567" s="7">
        <v>10.9</v>
      </c>
      <c r="E1567" s="8">
        <v>2000</v>
      </c>
      <c r="F1567" s="6">
        <v>1800</v>
      </c>
      <c r="G1567" s="6">
        <v>3000</v>
      </c>
      <c r="H1567" s="9">
        <f t="shared" si="123"/>
        <v>6800</v>
      </c>
      <c r="I1567" s="9">
        <v>58894</v>
      </c>
      <c r="J1567" s="9">
        <v>65694</v>
      </c>
      <c r="K1567" s="10">
        <v>65694</v>
      </c>
    </row>
    <row r="1568" spans="1:11" ht="15.75">
      <c r="A1568" s="5">
        <v>45582</v>
      </c>
      <c r="B1568" s="6" t="s">
        <v>12</v>
      </c>
      <c r="C1568" s="7">
        <v>13.99</v>
      </c>
      <c r="D1568" s="7">
        <v>10.9</v>
      </c>
      <c r="E1568" s="8">
        <v>2000</v>
      </c>
      <c r="F1568" s="6">
        <v>1800</v>
      </c>
      <c r="G1568" s="6">
        <v>3000</v>
      </c>
      <c r="H1568" s="9">
        <f t="shared" si="123"/>
        <v>6800</v>
      </c>
      <c r="I1568" s="9">
        <v>55862</v>
      </c>
      <c r="J1568" s="9">
        <v>62662</v>
      </c>
      <c r="K1568" s="10">
        <v>62662</v>
      </c>
    </row>
    <row r="1569" spans="1:11" ht="15.75">
      <c r="A1569" s="5">
        <v>45583</v>
      </c>
      <c r="B1569" s="6" t="s">
        <v>12</v>
      </c>
      <c r="C1569" s="7">
        <v>13.99</v>
      </c>
      <c r="D1569" s="7">
        <v>10.9</v>
      </c>
      <c r="E1569" s="8">
        <v>1300</v>
      </c>
      <c r="F1569" s="6">
        <v>1800</v>
      </c>
      <c r="G1569" s="6">
        <v>3000</v>
      </c>
      <c r="H1569" s="9">
        <f t="shared" si="123"/>
        <v>6100</v>
      </c>
      <c r="I1569" s="9">
        <v>55862</v>
      </c>
      <c r="J1569" s="9">
        <v>61962</v>
      </c>
      <c r="K1569" s="9">
        <v>61962</v>
      </c>
    </row>
    <row r="1570" spans="1:11" ht="15.75">
      <c r="A1570" s="5">
        <v>45584</v>
      </c>
      <c r="B1570" s="6" t="s">
        <v>12</v>
      </c>
      <c r="C1570" s="7">
        <v>13.99</v>
      </c>
      <c r="D1570" s="7">
        <v>10.9</v>
      </c>
      <c r="E1570" s="8">
        <v>1300</v>
      </c>
      <c r="F1570" s="6">
        <v>1800</v>
      </c>
      <c r="G1570" s="6">
        <v>4000</v>
      </c>
      <c r="H1570" s="9">
        <f t="shared" si="123"/>
        <v>7100</v>
      </c>
      <c r="I1570" s="9">
        <v>55862</v>
      </c>
      <c r="J1570" s="9">
        <v>62962</v>
      </c>
      <c r="K1570" s="10">
        <v>62962</v>
      </c>
    </row>
    <row r="1571" spans="1:11" ht="15.75">
      <c r="A1571" s="5">
        <v>45585</v>
      </c>
      <c r="B1571" s="6" t="s">
        <v>12</v>
      </c>
      <c r="C1571" s="7">
        <v>13.99</v>
      </c>
      <c r="D1571" s="7">
        <v>10.9</v>
      </c>
      <c r="E1571" s="8">
        <v>1300</v>
      </c>
      <c r="F1571" s="6">
        <v>1800</v>
      </c>
      <c r="G1571" s="6">
        <v>4000</v>
      </c>
      <c r="H1571" s="9">
        <f t="shared" si="123"/>
        <v>7100</v>
      </c>
      <c r="I1571" s="9">
        <v>27154</v>
      </c>
      <c r="J1571" s="9">
        <v>34254</v>
      </c>
      <c r="K1571" s="9">
        <v>34254</v>
      </c>
    </row>
    <row r="1572" spans="1:11" ht="15.75">
      <c r="A1572" s="5">
        <v>45586</v>
      </c>
      <c r="B1572" s="6" t="s">
        <v>12</v>
      </c>
      <c r="C1572" s="7">
        <v>13.99</v>
      </c>
      <c r="D1572" s="7">
        <v>10.9</v>
      </c>
      <c r="E1572" s="8">
        <v>1300</v>
      </c>
      <c r="F1572" s="6">
        <v>1500</v>
      </c>
      <c r="G1572" s="6">
        <v>4000</v>
      </c>
      <c r="H1572" s="9">
        <f t="shared" si="123"/>
        <v>6800</v>
      </c>
      <c r="I1572" s="9">
        <v>27154</v>
      </c>
      <c r="J1572" s="9">
        <v>33954</v>
      </c>
      <c r="K1572" s="9">
        <v>33954</v>
      </c>
    </row>
    <row r="1573" spans="1:11" ht="15.75">
      <c r="A1573" s="5">
        <v>45587</v>
      </c>
      <c r="B1573" s="6" t="s">
        <v>12</v>
      </c>
      <c r="C1573" s="7">
        <v>13.99</v>
      </c>
      <c r="D1573" s="7">
        <v>10.9</v>
      </c>
      <c r="E1573" s="8">
        <v>1300</v>
      </c>
      <c r="F1573" s="6">
        <v>1500</v>
      </c>
      <c r="G1573" s="6">
        <v>5000</v>
      </c>
      <c r="H1573" s="9">
        <f t="shared" si="123"/>
        <v>7800</v>
      </c>
      <c r="I1573" s="9">
        <v>27154</v>
      </c>
      <c r="J1573" s="9">
        <v>34954</v>
      </c>
      <c r="K1573" s="9">
        <v>34954</v>
      </c>
    </row>
    <row r="1574" spans="1:11" ht="15.75">
      <c r="A1574" s="5">
        <v>45588</v>
      </c>
      <c r="B1574" s="6" t="s">
        <v>12</v>
      </c>
      <c r="C1574" s="7">
        <v>13.99</v>
      </c>
      <c r="D1574" s="7">
        <v>10.9</v>
      </c>
      <c r="E1574" s="8">
        <v>1300</v>
      </c>
      <c r="F1574" s="6">
        <v>1500</v>
      </c>
      <c r="G1574" s="6">
        <v>5000</v>
      </c>
      <c r="H1574" s="9">
        <f t="shared" si="123"/>
        <v>7800</v>
      </c>
      <c r="I1574" s="9">
        <v>39347</v>
      </c>
      <c r="J1574" s="9">
        <v>47147</v>
      </c>
      <c r="K1574" s="9">
        <v>47147</v>
      </c>
    </row>
    <row r="1575" spans="1:11" ht="15.75">
      <c r="A1575" s="5">
        <v>45589</v>
      </c>
      <c r="B1575" s="6" t="s">
        <v>12</v>
      </c>
      <c r="C1575" s="7">
        <v>13.99</v>
      </c>
      <c r="D1575" s="7">
        <v>10.9</v>
      </c>
      <c r="E1575" s="8">
        <v>2500</v>
      </c>
      <c r="F1575" s="6">
        <v>1500</v>
      </c>
      <c r="G1575" s="6">
        <v>5000</v>
      </c>
      <c r="H1575" s="9">
        <f t="shared" si="123"/>
        <v>9000</v>
      </c>
      <c r="I1575" s="9">
        <v>39347</v>
      </c>
      <c r="J1575" s="9">
        <v>48347</v>
      </c>
      <c r="K1575" s="9">
        <v>48347</v>
      </c>
    </row>
    <row r="1576" spans="1:11" ht="15.75">
      <c r="A1576" s="5">
        <v>45590</v>
      </c>
      <c r="B1576" s="6" t="s">
        <v>12</v>
      </c>
      <c r="C1576" s="7">
        <v>13.99</v>
      </c>
      <c r="D1576" s="7">
        <v>10.9</v>
      </c>
      <c r="E1576" s="8">
        <v>2500</v>
      </c>
      <c r="F1576" s="6">
        <v>1500</v>
      </c>
      <c r="G1576" s="6">
        <v>5000</v>
      </c>
      <c r="H1576" s="9">
        <f t="shared" si="123"/>
        <v>9000</v>
      </c>
      <c r="I1576" s="9">
        <v>39347</v>
      </c>
      <c r="J1576" s="9">
        <v>48347</v>
      </c>
      <c r="K1576" s="9">
        <v>48347</v>
      </c>
    </row>
    <row r="1577" spans="1:11" ht="15.75">
      <c r="A1577" s="5">
        <v>45591</v>
      </c>
      <c r="B1577" s="6" t="s">
        <v>12</v>
      </c>
      <c r="C1577" s="7">
        <v>13.87</v>
      </c>
      <c r="D1577" s="7">
        <v>10.5</v>
      </c>
      <c r="E1577" s="8">
        <v>2500</v>
      </c>
      <c r="F1577" s="6">
        <v>2000</v>
      </c>
      <c r="G1577" s="6">
        <v>5000</v>
      </c>
      <c r="H1577" s="9">
        <f t="shared" si="123"/>
        <v>9500</v>
      </c>
      <c r="I1577" s="9">
        <v>141314</v>
      </c>
      <c r="J1577" s="9">
        <v>150814</v>
      </c>
      <c r="K1577" s="9">
        <v>149888</v>
      </c>
    </row>
    <row r="1578" spans="1:11" ht="15.75">
      <c r="A1578" s="5">
        <v>45592</v>
      </c>
      <c r="B1578" s="6" t="s">
        <v>12</v>
      </c>
      <c r="C1578" s="7">
        <v>13.29</v>
      </c>
      <c r="D1578" s="7">
        <v>8.6</v>
      </c>
      <c r="E1578" s="8">
        <v>2500</v>
      </c>
      <c r="F1578" s="6">
        <v>2000</v>
      </c>
      <c r="G1578" s="6">
        <v>5000</v>
      </c>
      <c r="H1578" s="9">
        <f t="shared" si="123"/>
        <v>9500</v>
      </c>
      <c r="I1578" s="9">
        <v>75991</v>
      </c>
      <c r="J1578" s="9">
        <v>85491</v>
      </c>
      <c r="K1578" s="9">
        <v>81022</v>
      </c>
    </row>
    <row r="1579" spans="1:11" ht="15.75">
      <c r="A1579" s="5">
        <v>45593</v>
      </c>
      <c r="B1579" s="6" t="s">
        <v>12</v>
      </c>
      <c r="C1579" s="7">
        <v>13.81</v>
      </c>
      <c r="D1579" s="7">
        <v>10.3</v>
      </c>
      <c r="E1579" s="8">
        <v>2900</v>
      </c>
      <c r="F1579" s="6">
        <v>2000</v>
      </c>
      <c r="G1579" s="6">
        <v>5500</v>
      </c>
      <c r="H1579" s="9">
        <f t="shared" si="123"/>
        <v>10400</v>
      </c>
      <c r="I1579" s="9">
        <v>83941</v>
      </c>
      <c r="J1579" s="9">
        <v>94341</v>
      </c>
      <c r="K1579" s="9">
        <v>98347</v>
      </c>
    </row>
    <row r="1580" spans="1:11" ht="15.75">
      <c r="A1580" s="5">
        <v>45594</v>
      </c>
      <c r="B1580" s="6" t="s">
        <v>12</v>
      </c>
      <c r="C1580" s="7">
        <v>13.73</v>
      </c>
      <c r="D1580" s="7">
        <v>10.050000000000001</v>
      </c>
      <c r="E1580" s="8">
        <v>2300</v>
      </c>
      <c r="F1580" s="6">
        <v>2000</v>
      </c>
      <c r="G1580" s="6">
        <v>5500</v>
      </c>
      <c r="H1580" s="9">
        <f t="shared" si="123"/>
        <v>9800</v>
      </c>
      <c r="I1580" s="9">
        <v>82862</v>
      </c>
      <c r="J1580" s="9">
        <v>92660</v>
      </c>
      <c r="K1580" s="9">
        <v>92048</v>
      </c>
    </row>
    <row r="1581" spans="1:11" ht="15.75">
      <c r="A1581" s="5">
        <v>45595</v>
      </c>
      <c r="B1581" s="6" t="s">
        <v>12</v>
      </c>
      <c r="C1581" s="7">
        <v>13.38</v>
      </c>
      <c r="D1581" s="7">
        <v>8.9</v>
      </c>
      <c r="E1581" s="8">
        <v>1100</v>
      </c>
      <c r="F1581" s="6">
        <v>2000</v>
      </c>
      <c r="G1581" s="6">
        <v>5500</v>
      </c>
      <c r="H1581" s="9">
        <f t="shared" si="123"/>
        <v>8600</v>
      </c>
      <c r="I1581" s="9">
        <v>60741</v>
      </c>
      <c r="J1581" s="9">
        <v>69341</v>
      </c>
      <c r="K1581" s="9">
        <v>66636</v>
      </c>
    </row>
    <row r="1582" spans="1:11" ht="15.75">
      <c r="A1582" s="5">
        <v>45596</v>
      </c>
      <c r="B1582" s="6" t="s">
        <v>12</v>
      </c>
      <c r="C1582" s="7">
        <v>13.87</v>
      </c>
      <c r="D1582" s="7">
        <v>10.5</v>
      </c>
      <c r="E1582" s="8">
        <v>1100</v>
      </c>
      <c r="F1582" s="6">
        <v>2000</v>
      </c>
      <c r="G1582" s="6">
        <v>5500</v>
      </c>
      <c r="H1582" s="9">
        <f t="shared" si="123"/>
        <v>8600</v>
      </c>
      <c r="I1582" s="9">
        <v>80157</v>
      </c>
      <c r="J1582" s="9">
        <v>88757</v>
      </c>
      <c r="K1582" s="9">
        <v>92537</v>
      </c>
    </row>
    <row r="1583" spans="1:11" ht="15.75">
      <c r="A1583" s="2" t="s">
        <v>13</v>
      </c>
      <c r="B1583" s="2"/>
      <c r="C1583" s="2"/>
      <c r="D1583" s="2"/>
      <c r="E1583" s="11">
        <f t="shared" ref="E1583:K1583" si="124">SUM(E1552:E1582)</f>
        <v>94800</v>
      </c>
      <c r="F1583" s="11">
        <f t="shared" si="124"/>
        <v>63500</v>
      </c>
      <c r="G1583" s="11">
        <f t="shared" si="124"/>
        <v>160000</v>
      </c>
      <c r="H1583" s="11">
        <f t="shared" si="124"/>
        <v>318300</v>
      </c>
      <c r="I1583" s="11">
        <f t="shared" si="124"/>
        <v>3099097</v>
      </c>
      <c r="J1583" s="11">
        <f t="shared" si="124"/>
        <v>3417395</v>
      </c>
      <c r="K1583" s="11">
        <f t="shared" si="124"/>
        <v>3418552</v>
      </c>
    </row>
    <row r="1584" spans="1:11" ht="15.75">
      <c r="A1584" s="12"/>
      <c r="B1584" s="2"/>
      <c r="C1584" s="2"/>
      <c r="D1584" s="2"/>
      <c r="E1584" s="13">
        <f t="shared" ref="E1584:K1584" si="125">SUM(E1583/11575)</f>
        <v>8.1900647948164149</v>
      </c>
      <c r="F1584" s="13">
        <f t="shared" si="125"/>
        <v>5.485961123110151</v>
      </c>
      <c r="G1584" s="13">
        <f t="shared" si="125"/>
        <v>13.822894168466522</v>
      </c>
      <c r="H1584" s="13">
        <f t="shared" si="125"/>
        <v>27.498920086393088</v>
      </c>
      <c r="I1584" s="13">
        <f t="shared" si="125"/>
        <v>267.7405615550756</v>
      </c>
      <c r="J1584" s="13">
        <f t="shared" si="125"/>
        <v>295.2393088552916</v>
      </c>
      <c r="K1584" s="13">
        <f t="shared" si="125"/>
        <v>295.33926565874731</v>
      </c>
    </row>
    <row r="1585" spans="1:11" ht="15.75">
      <c r="A1585" s="1" t="s">
        <v>66</v>
      </c>
      <c r="B1585" s="1"/>
      <c r="C1585" s="1"/>
      <c r="D1585" s="1"/>
      <c r="E1585" s="1"/>
      <c r="F1585" s="1"/>
      <c r="G1585" s="1"/>
      <c r="H1585" s="1"/>
      <c r="I1585" s="1"/>
      <c r="J1585" s="1"/>
      <c r="K1585" s="1"/>
    </row>
    <row r="1586" spans="1:11" ht="47.25">
      <c r="A1586" s="2" t="s">
        <v>1</v>
      </c>
      <c r="B1586" s="2" t="s">
        <v>2</v>
      </c>
      <c r="C1586" s="3" t="s">
        <v>18</v>
      </c>
      <c r="D1586" s="3" t="s">
        <v>4</v>
      </c>
      <c r="E1586" s="3" t="s">
        <v>5</v>
      </c>
      <c r="F1586" s="3" t="s">
        <v>6</v>
      </c>
      <c r="G1586" s="3" t="s">
        <v>7</v>
      </c>
      <c r="H1586" s="3" t="s">
        <v>8</v>
      </c>
      <c r="I1586" s="3" t="s">
        <v>9</v>
      </c>
      <c r="J1586" s="3" t="s">
        <v>19</v>
      </c>
      <c r="K1586" s="4" t="s">
        <v>11</v>
      </c>
    </row>
    <row r="1587" spans="1:11" ht="15.75">
      <c r="A1587" s="5">
        <v>45597</v>
      </c>
      <c r="B1587" s="6" t="s">
        <v>12</v>
      </c>
      <c r="C1587" s="7">
        <v>13.32</v>
      </c>
      <c r="D1587" s="7">
        <v>8.6999999999999993</v>
      </c>
      <c r="E1587" s="8">
        <v>1100</v>
      </c>
      <c r="F1587" s="8">
        <v>2000</v>
      </c>
      <c r="G1587" s="8">
        <v>1000</v>
      </c>
      <c r="H1587" s="14">
        <f>E1587+F1587+G1587</f>
        <v>4100</v>
      </c>
      <c r="I1587" s="9">
        <v>61612</v>
      </c>
      <c r="J1587" s="9">
        <v>65712</v>
      </c>
      <c r="K1587" s="10">
        <v>61471</v>
      </c>
    </row>
    <row r="1588" spans="1:11" ht="15.75">
      <c r="A1588" s="5">
        <v>45598</v>
      </c>
      <c r="B1588" s="6" t="s">
        <v>12</v>
      </c>
      <c r="C1588" s="7">
        <v>13.66</v>
      </c>
      <c r="D1588" s="7">
        <v>9.8000000000000007</v>
      </c>
      <c r="E1588" s="8">
        <v>1100</v>
      </c>
      <c r="F1588" s="8">
        <v>1800</v>
      </c>
      <c r="G1588" s="8">
        <v>4500</v>
      </c>
      <c r="H1588" s="9">
        <f t="shared" ref="H1588:H1616" si="126">E1588+F1588+G1588</f>
        <v>7400</v>
      </c>
      <c r="I1588" s="9">
        <v>31461</v>
      </c>
      <c r="J1588" s="9">
        <v>38861</v>
      </c>
      <c r="K1588" s="10">
        <v>41482</v>
      </c>
    </row>
    <row r="1589" spans="1:11" ht="15.75">
      <c r="A1589" s="5">
        <v>45599</v>
      </c>
      <c r="B1589" s="6" t="s">
        <v>12</v>
      </c>
      <c r="C1589" s="7">
        <v>13.99</v>
      </c>
      <c r="D1589" s="7">
        <v>10.9</v>
      </c>
      <c r="E1589" s="8">
        <v>1100</v>
      </c>
      <c r="F1589" s="8">
        <v>1700</v>
      </c>
      <c r="G1589" s="8">
        <v>5500</v>
      </c>
      <c r="H1589" s="9">
        <f t="shared" si="126"/>
        <v>8300</v>
      </c>
      <c r="I1589" s="9">
        <v>36579</v>
      </c>
      <c r="J1589" s="9">
        <v>44879</v>
      </c>
      <c r="K1589" s="10">
        <v>47426</v>
      </c>
    </row>
    <row r="1590" spans="1:11" ht="15.75">
      <c r="A1590" s="5">
        <v>45600</v>
      </c>
      <c r="B1590" s="6" t="s">
        <v>12</v>
      </c>
      <c r="C1590" s="7">
        <v>13.99</v>
      </c>
      <c r="D1590" s="7">
        <v>10.9</v>
      </c>
      <c r="E1590" s="8">
        <v>500</v>
      </c>
      <c r="F1590" s="6">
        <v>1700</v>
      </c>
      <c r="G1590" s="8">
        <v>5500</v>
      </c>
      <c r="H1590" s="9">
        <f t="shared" si="126"/>
        <v>7700</v>
      </c>
      <c r="I1590" s="9">
        <v>42778</v>
      </c>
      <c r="J1590" s="9">
        <v>50478</v>
      </c>
      <c r="K1590" s="10">
        <v>50478</v>
      </c>
    </row>
    <row r="1591" spans="1:11" ht="15.75">
      <c r="A1591" s="5">
        <v>45601</v>
      </c>
      <c r="B1591" s="6" t="s">
        <v>12</v>
      </c>
      <c r="C1591" s="7">
        <v>13.99</v>
      </c>
      <c r="D1591" s="7">
        <v>10.9</v>
      </c>
      <c r="E1591" s="8">
        <v>1100</v>
      </c>
      <c r="F1591" s="6">
        <v>1700</v>
      </c>
      <c r="G1591" s="8">
        <v>5500</v>
      </c>
      <c r="H1591" s="9">
        <f t="shared" si="126"/>
        <v>8300</v>
      </c>
      <c r="I1591" s="9">
        <v>42778</v>
      </c>
      <c r="J1591" s="9">
        <v>51078</v>
      </c>
      <c r="K1591" s="9">
        <v>51078</v>
      </c>
    </row>
    <row r="1592" spans="1:11" ht="15.75">
      <c r="A1592" s="5">
        <v>45602</v>
      </c>
      <c r="B1592" s="6" t="s">
        <v>12</v>
      </c>
      <c r="C1592" s="7">
        <v>13.11</v>
      </c>
      <c r="D1592" s="7">
        <v>8</v>
      </c>
      <c r="E1592" s="8">
        <v>1100</v>
      </c>
      <c r="F1592" s="6">
        <v>1200</v>
      </c>
      <c r="G1592" s="8">
        <v>4500</v>
      </c>
      <c r="H1592" s="9">
        <f t="shared" si="126"/>
        <v>6800</v>
      </c>
      <c r="I1592" s="9">
        <v>61677</v>
      </c>
      <c r="J1592" s="9">
        <v>68477</v>
      </c>
      <c r="K1592" s="10">
        <v>61716</v>
      </c>
    </row>
    <row r="1593" spans="1:11" ht="15.75">
      <c r="A1593" s="5">
        <v>45603</v>
      </c>
      <c r="B1593" s="6" t="s">
        <v>12</v>
      </c>
      <c r="C1593" s="7">
        <v>13.5</v>
      </c>
      <c r="D1593" s="7">
        <v>9.4</v>
      </c>
      <c r="E1593" s="8">
        <v>1100</v>
      </c>
      <c r="F1593" s="6">
        <v>1200</v>
      </c>
      <c r="G1593" s="8">
        <v>4500</v>
      </c>
      <c r="H1593" s="9">
        <f t="shared" si="126"/>
        <v>6800</v>
      </c>
      <c r="I1593" s="9">
        <v>37753</v>
      </c>
      <c r="J1593" s="9">
        <v>44553</v>
      </c>
      <c r="K1593" s="10">
        <v>47534</v>
      </c>
    </row>
    <row r="1594" spans="1:11" ht="15.75">
      <c r="A1594" s="5">
        <v>45604</v>
      </c>
      <c r="B1594" s="6" t="s">
        <v>12</v>
      </c>
      <c r="C1594" s="7">
        <v>13.57</v>
      </c>
      <c r="D1594" s="7">
        <v>9.5</v>
      </c>
      <c r="E1594" s="8">
        <v>1100</v>
      </c>
      <c r="F1594" s="6">
        <v>1000</v>
      </c>
      <c r="G1594" s="8">
        <v>3500</v>
      </c>
      <c r="H1594" s="9">
        <f t="shared" si="126"/>
        <v>5600</v>
      </c>
      <c r="I1594" s="9">
        <v>72030</v>
      </c>
      <c r="J1594" s="9">
        <v>77630</v>
      </c>
      <c r="K1594" s="10">
        <v>78169</v>
      </c>
    </row>
    <row r="1595" spans="1:11" ht="15.75">
      <c r="A1595" s="5">
        <v>45605</v>
      </c>
      <c r="B1595" s="6" t="s">
        <v>12</v>
      </c>
      <c r="C1595" s="7">
        <v>13.5</v>
      </c>
      <c r="D1595" s="7">
        <v>9.3000000000000007</v>
      </c>
      <c r="E1595" s="8">
        <v>1100</v>
      </c>
      <c r="F1595" s="6">
        <v>1000</v>
      </c>
      <c r="G1595" s="8">
        <v>3500</v>
      </c>
      <c r="H1595" s="9">
        <f t="shared" si="126"/>
        <v>5600</v>
      </c>
      <c r="I1595" s="9">
        <v>39314</v>
      </c>
      <c r="J1595" s="9">
        <v>44914</v>
      </c>
      <c r="K1595" s="10">
        <v>44375</v>
      </c>
    </row>
    <row r="1596" spans="1:11" ht="15.75">
      <c r="A1596" s="5">
        <v>45606</v>
      </c>
      <c r="B1596" s="6" t="s">
        <v>12</v>
      </c>
      <c r="C1596" s="7">
        <v>13.52</v>
      </c>
      <c r="D1596" s="7">
        <v>9.35</v>
      </c>
      <c r="E1596" s="8">
        <v>1100</v>
      </c>
      <c r="F1596" s="6">
        <v>1000</v>
      </c>
      <c r="G1596" s="8">
        <v>4000</v>
      </c>
      <c r="H1596" s="9">
        <f t="shared" si="126"/>
        <v>6100</v>
      </c>
      <c r="I1596" s="9">
        <v>44130</v>
      </c>
      <c r="J1596" s="9">
        <v>50230</v>
      </c>
      <c r="K1596" s="9">
        <v>50384</v>
      </c>
    </row>
    <row r="1597" spans="1:11" ht="15.75">
      <c r="A1597" s="5">
        <v>45607</v>
      </c>
      <c r="B1597" s="6" t="s">
        <v>12</v>
      </c>
      <c r="C1597" s="7">
        <v>13.55</v>
      </c>
      <c r="D1597" s="7">
        <v>9.4499999999999993</v>
      </c>
      <c r="E1597" s="8">
        <v>800</v>
      </c>
      <c r="F1597" s="6">
        <v>1000</v>
      </c>
      <c r="G1597" s="8">
        <v>4000</v>
      </c>
      <c r="H1597" s="9">
        <f t="shared" si="126"/>
        <v>5800</v>
      </c>
      <c r="I1597" s="9">
        <v>44394</v>
      </c>
      <c r="J1597" s="9">
        <v>50194</v>
      </c>
      <c r="K1597" s="10">
        <v>50426</v>
      </c>
    </row>
    <row r="1598" spans="1:11" ht="15.75">
      <c r="A1598" s="5">
        <v>45608</v>
      </c>
      <c r="B1598" s="6" t="s">
        <v>12</v>
      </c>
      <c r="C1598" s="7">
        <v>13.66</v>
      </c>
      <c r="D1598" s="7">
        <v>9.8000000000000007</v>
      </c>
      <c r="E1598" s="8">
        <v>800</v>
      </c>
      <c r="F1598" s="6">
        <v>1000</v>
      </c>
      <c r="G1598" s="8">
        <v>3500</v>
      </c>
      <c r="H1598" s="9">
        <f t="shared" si="126"/>
        <v>5300</v>
      </c>
      <c r="I1598" s="9">
        <v>33922</v>
      </c>
      <c r="J1598" s="9">
        <v>39222</v>
      </c>
      <c r="K1598" s="9">
        <v>40070</v>
      </c>
    </row>
    <row r="1599" spans="1:11" ht="15.75">
      <c r="A1599" s="5">
        <v>45609</v>
      </c>
      <c r="B1599" s="6" t="s">
        <v>12</v>
      </c>
      <c r="C1599" s="7">
        <v>13.93</v>
      </c>
      <c r="D1599" s="7">
        <v>10.7</v>
      </c>
      <c r="E1599" s="8">
        <v>800</v>
      </c>
      <c r="F1599" s="6">
        <v>800</v>
      </c>
      <c r="G1599" s="8">
        <v>2500</v>
      </c>
      <c r="H1599" s="9">
        <f t="shared" si="126"/>
        <v>4100</v>
      </c>
      <c r="I1599" s="9">
        <v>23118</v>
      </c>
      <c r="J1599" s="9">
        <v>27218</v>
      </c>
      <c r="K1599" s="10">
        <v>29302</v>
      </c>
    </row>
    <row r="1600" spans="1:11" ht="15.75">
      <c r="A1600" s="5">
        <v>45610</v>
      </c>
      <c r="B1600" s="6" t="s">
        <v>12</v>
      </c>
      <c r="C1600" s="7">
        <v>13.99</v>
      </c>
      <c r="D1600" s="7">
        <v>10.9</v>
      </c>
      <c r="E1600" s="8">
        <v>1000</v>
      </c>
      <c r="F1600" s="6">
        <v>800</v>
      </c>
      <c r="G1600" s="6">
        <v>2500</v>
      </c>
      <c r="H1600" s="9">
        <f t="shared" si="126"/>
        <v>4300</v>
      </c>
      <c r="I1600" s="9">
        <v>20508</v>
      </c>
      <c r="J1600" s="9">
        <v>24808</v>
      </c>
      <c r="K1600" s="10">
        <v>25271</v>
      </c>
    </row>
    <row r="1601" spans="1:11" ht="15.75">
      <c r="A1601" s="5">
        <v>45611</v>
      </c>
      <c r="B1601" s="6" t="s">
        <v>12</v>
      </c>
      <c r="C1601" s="7">
        <v>13.99</v>
      </c>
      <c r="D1601" s="7">
        <v>10.9</v>
      </c>
      <c r="E1601" s="8">
        <v>1000</v>
      </c>
      <c r="F1601" s="6">
        <v>800</v>
      </c>
      <c r="G1601" s="6">
        <v>2000</v>
      </c>
      <c r="H1601" s="9">
        <f t="shared" si="126"/>
        <v>3800</v>
      </c>
      <c r="I1601" s="9">
        <v>17382</v>
      </c>
      <c r="J1601" s="9">
        <v>21182</v>
      </c>
      <c r="K1601" s="9">
        <v>21182</v>
      </c>
    </row>
    <row r="1602" spans="1:11" ht="15.75">
      <c r="A1602" s="5">
        <v>45612</v>
      </c>
      <c r="B1602" s="6" t="s">
        <v>12</v>
      </c>
      <c r="C1602" s="7">
        <v>13.99</v>
      </c>
      <c r="D1602" s="7">
        <v>10.9</v>
      </c>
      <c r="E1602" s="8">
        <v>1000</v>
      </c>
      <c r="F1602" s="6">
        <v>800</v>
      </c>
      <c r="G1602" s="6">
        <v>1000</v>
      </c>
      <c r="H1602" s="9">
        <f t="shared" si="126"/>
        <v>2800</v>
      </c>
      <c r="I1602" s="9">
        <v>17382</v>
      </c>
      <c r="J1602" s="9">
        <v>20182</v>
      </c>
      <c r="K1602" s="10">
        <v>20182</v>
      </c>
    </row>
    <row r="1603" spans="1:11" ht="15.75">
      <c r="A1603" s="5">
        <v>45613</v>
      </c>
      <c r="B1603" s="6" t="s">
        <v>12</v>
      </c>
      <c r="C1603" s="7">
        <v>13.99</v>
      </c>
      <c r="D1603" s="7">
        <v>10.9</v>
      </c>
      <c r="E1603" s="8">
        <v>1000</v>
      </c>
      <c r="F1603" s="6">
        <v>1000</v>
      </c>
      <c r="G1603" s="6">
        <v>1500</v>
      </c>
      <c r="H1603" s="9">
        <f t="shared" si="126"/>
        <v>3500</v>
      </c>
      <c r="I1603" s="9">
        <v>17382</v>
      </c>
      <c r="J1603" s="9">
        <v>20882</v>
      </c>
      <c r="K1603" s="10">
        <v>20882</v>
      </c>
    </row>
    <row r="1604" spans="1:11" ht="15.75">
      <c r="A1604" s="5">
        <v>45614</v>
      </c>
      <c r="B1604" s="6" t="s">
        <v>12</v>
      </c>
      <c r="C1604" s="7">
        <v>13.99</v>
      </c>
      <c r="D1604" s="7">
        <v>10.9</v>
      </c>
      <c r="E1604" s="8">
        <v>1000</v>
      </c>
      <c r="F1604" s="6">
        <v>1000</v>
      </c>
      <c r="G1604" s="6">
        <v>2000</v>
      </c>
      <c r="H1604" s="9">
        <f t="shared" si="126"/>
        <v>4000</v>
      </c>
      <c r="I1604" s="9">
        <v>17382</v>
      </c>
      <c r="J1604" s="9">
        <v>21382</v>
      </c>
      <c r="K1604" s="9">
        <v>21382</v>
      </c>
    </row>
    <row r="1605" spans="1:11" ht="15.75">
      <c r="A1605" s="5">
        <v>45615</v>
      </c>
      <c r="B1605" s="6" t="s">
        <v>12</v>
      </c>
      <c r="C1605" s="7">
        <v>13.99</v>
      </c>
      <c r="D1605" s="7">
        <v>10.9</v>
      </c>
      <c r="E1605" s="8">
        <v>600</v>
      </c>
      <c r="F1605" s="6">
        <v>800</v>
      </c>
      <c r="G1605" s="6">
        <v>2500</v>
      </c>
      <c r="H1605" s="9">
        <f t="shared" si="126"/>
        <v>3900</v>
      </c>
      <c r="I1605" s="9">
        <v>17382</v>
      </c>
      <c r="J1605" s="9">
        <v>21282</v>
      </c>
      <c r="K1605" s="10">
        <v>21282</v>
      </c>
    </row>
    <row r="1606" spans="1:11" ht="15.75">
      <c r="A1606" s="5">
        <v>45616</v>
      </c>
      <c r="B1606" s="6" t="s">
        <v>12</v>
      </c>
      <c r="C1606" s="7">
        <v>13.99</v>
      </c>
      <c r="D1606" s="7">
        <v>10.9</v>
      </c>
      <c r="E1606" s="8">
        <v>600</v>
      </c>
      <c r="F1606" s="8">
        <v>600</v>
      </c>
      <c r="G1606" s="6">
        <v>3500</v>
      </c>
      <c r="H1606" s="9">
        <f t="shared" si="126"/>
        <v>4700</v>
      </c>
      <c r="I1606" s="9">
        <v>17382</v>
      </c>
      <c r="J1606" s="9">
        <v>22082</v>
      </c>
      <c r="K1606" s="10">
        <v>22082</v>
      </c>
    </row>
    <row r="1607" spans="1:11" ht="15.75">
      <c r="A1607" s="5">
        <v>45617</v>
      </c>
      <c r="B1607" s="6" t="s">
        <v>12</v>
      </c>
      <c r="C1607" s="7">
        <v>13.99</v>
      </c>
      <c r="D1607" s="7">
        <v>10.9</v>
      </c>
      <c r="E1607" s="8">
        <v>600</v>
      </c>
      <c r="F1607" s="8">
        <v>600</v>
      </c>
      <c r="G1607" s="6">
        <v>3500</v>
      </c>
      <c r="H1607" s="9">
        <f t="shared" si="126"/>
        <v>4700</v>
      </c>
      <c r="I1607" s="9">
        <v>17382</v>
      </c>
      <c r="J1607" s="9">
        <v>22082</v>
      </c>
      <c r="K1607" s="9">
        <v>22082</v>
      </c>
    </row>
    <row r="1608" spans="1:11" ht="15.75">
      <c r="A1608" s="5">
        <v>45618</v>
      </c>
      <c r="B1608" s="6" t="s">
        <v>12</v>
      </c>
      <c r="C1608" s="7">
        <v>13.99</v>
      </c>
      <c r="D1608" s="7">
        <v>10.9</v>
      </c>
      <c r="E1608" s="8">
        <v>600</v>
      </c>
      <c r="F1608" s="8">
        <v>600</v>
      </c>
      <c r="G1608" s="6">
        <v>3500</v>
      </c>
      <c r="H1608" s="9">
        <f t="shared" si="126"/>
        <v>4700</v>
      </c>
      <c r="I1608" s="9">
        <v>17382</v>
      </c>
      <c r="J1608" s="9">
        <v>22082</v>
      </c>
      <c r="K1608" s="9">
        <v>22082</v>
      </c>
    </row>
    <row r="1609" spans="1:11" ht="15.75">
      <c r="A1609" s="5">
        <v>45619</v>
      </c>
      <c r="B1609" s="6" t="s">
        <v>12</v>
      </c>
      <c r="C1609" s="7">
        <v>13.99</v>
      </c>
      <c r="D1609" s="7">
        <v>10.9</v>
      </c>
      <c r="E1609" s="8">
        <v>600</v>
      </c>
      <c r="F1609" s="8">
        <v>600</v>
      </c>
      <c r="G1609" s="6">
        <v>3500</v>
      </c>
      <c r="H1609" s="9">
        <f t="shared" si="126"/>
        <v>4700</v>
      </c>
      <c r="I1609" s="9">
        <v>17382</v>
      </c>
      <c r="J1609" s="9">
        <v>22082</v>
      </c>
      <c r="K1609" s="9">
        <v>22082</v>
      </c>
    </row>
    <row r="1610" spans="1:11" ht="15.75">
      <c r="A1610" s="5">
        <v>45620</v>
      </c>
      <c r="B1610" s="6" t="s">
        <v>12</v>
      </c>
      <c r="C1610" s="7">
        <v>13.99</v>
      </c>
      <c r="D1610" s="7">
        <v>10.9</v>
      </c>
      <c r="E1610" s="8">
        <v>600</v>
      </c>
      <c r="F1610" s="8">
        <v>600</v>
      </c>
      <c r="G1610" s="6">
        <v>2500</v>
      </c>
      <c r="H1610" s="9">
        <f t="shared" si="126"/>
        <v>3700</v>
      </c>
      <c r="I1610" s="9">
        <v>17382</v>
      </c>
      <c r="J1610" s="9">
        <v>21082</v>
      </c>
      <c r="K1610" s="9">
        <v>21082</v>
      </c>
    </row>
    <row r="1611" spans="1:11" ht="15.75">
      <c r="A1611" s="5">
        <v>45621</v>
      </c>
      <c r="B1611" s="6" t="s">
        <v>12</v>
      </c>
      <c r="C1611" s="7">
        <v>13.99</v>
      </c>
      <c r="D1611" s="7">
        <v>10.9</v>
      </c>
      <c r="E1611" s="8">
        <v>600</v>
      </c>
      <c r="F1611" s="8">
        <v>600</v>
      </c>
      <c r="G1611" s="6">
        <v>2500</v>
      </c>
      <c r="H1611" s="9">
        <f t="shared" si="126"/>
        <v>3700</v>
      </c>
      <c r="I1611" s="9">
        <v>17382</v>
      </c>
      <c r="J1611" s="9">
        <v>21082</v>
      </c>
      <c r="K1611" s="9">
        <v>21082</v>
      </c>
    </row>
    <row r="1612" spans="1:11" ht="15.75">
      <c r="A1612" s="5">
        <v>45622</v>
      </c>
      <c r="B1612" s="6" t="s">
        <v>12</v>
      </c>
      <c r="C1612" s="7">
        <v>13.99</v>
      </c>
      <c r="D1612" s="7">
        <v>10.9</v>
      </c>
      <c r="E1612" s="8">
        <v>600</v>
      </c>
      <c r="F1612" s="8">
        <v>600</v>
      </c>
      <c r="G1612" s="6">
        <v>2500</v>
      </c>
      <c r="H1612" s="9">
        <f t="shared" si="126"/>
        <v>3700</v>
      </c>
      <c r="I1612" s="9">
        <v>17382</v>
      </c>
      <c r="J1612" s="9">
        <v>21082</v>
      </c>
      <c r="K1612" s="9">
        <v>21082</v>
      </c>
    </row>
    <row r="1613" spans="1:11" ht="15.75">
      <c r="A1613" s="5">
        <v>45623</v>
      </c>
      <c r="B1613" s="6" t="s">
        <v>12</v>
      </c>
      <c r="C1613" s="7">
        <v>13.99</v>
      </c>
      <c r="D1613" s="7">
        <v>10.9</v>
      </c>
      <c r="E1613" s="8">
        <v>600</v>
      </c>
      <c r="F1613" s="8">
        <v>600</v>
      </c>
      <c r="G1613" s="6">
        <v>2500</v>
      </c>
      <c r="H1613" s="9">
        <f t="shared" si="126"/>
        <v>3700</v>
      </c>
      <c r="I1613" s="9">
        <v>17382</v>
      </c>
      <c r="J1613" s="9">
        <v>21082</v>
      </c>
      <c r="K1613" s="9">
        <v>21082</v>
      </c>
    </row>
    <row r="1614" spans="1:11" ht="15.75">
      <c r="A1614" s="5">
        <v>45624</v>
      </c>
      <c r="B1614" s="6" t="s">
        <v>12</v>
      </c>
      <c r="C1614" s="7">
        <v>13.99</v>
      </c>
      <c r="D1614" s="7">
        <v>10.9</v>
      </c>
      <c r="E1614" s="8">
        <v>600</v>
      </c>
      <c r="F1614" s="8">
        <v>600</v>
      </c>
      <c r="G1614" s="6">
        <v>2500</v>
      </c>
      <c r="H1614" s="9">
        <f t="shared" si="126"/>
        <v>3700</v>
      </c>
      <c r="I1614" s="9">
        <v>17382</v>
      </c>
      <c r="J1614" s="9">
        <v>21082</v>
      </c>
      <c r="K1614" s="9">
        <v>21082</v>
      </c>
    </row>
    <row r="1615" spans="1:11" ht="15.75">
      <c r="A1615" s="5">
        <v>45625</v>
      </c>
      <c r="B1615" s="6" t="s">
        <v>12</v>
      </c>
      <c r="C1615" s="7">
        <v>13.99</v>
      </c>
      <c r="D1615" s="7">
        <v>10.9</v>
      </c>
      <c r="E1615" s="8">
        <v>600</v>
      </c>
      <c r="F1615" s="8">
        <v>600</v>
      </c>
      <c r="G1615" s="6">
        <v>3000</v>
      </c>
      <c r="H1615" s="9">
        <f t="shared" si="126"/>
        <v>4200</v>
      </c>
      <c r="I1615" s="9">
        <v>17382</v>
      </c>
      <c r="J1615" s="9">
        <v>21582</v>
      </c>
      <c r="K1615" s="9">
        <v>21582</v>
      </c>
    </row>
    <row r="1616" spans="1:11" ht="15.75">
      <c r="A1616" s="5">
        <v>45626</v>
      </c>
      <c r="B1616" s="6" t="s">
        <v>12</v>
      </c>
      <c r="C1616" s="7">
        <v>13.99</v>
      </c>
      <c r="D1616" s="7">
        <v>10.9</v>
      </c>
      <c r="E1616" s="8">
        <v>600</v>
      </c>
      <c r="F1616" s="8">
        <v>600</v>
      </c>
      <c r="G1616" s="6">
        <v>3000</v>
      </c>
      <c r="H1616" s="9">
        <f t="shared" si="126"/>
        <v>4200</v>
      </c>
      <c r="I1616" s="9">
        <v>17382</v>
      </c>
      <c r="J1616" s="9">
        <v>21582</v>
      </c>
      <c r="K1616" s="9">
        <v>21582</v>
      </c>
    </row>
    <row r="1617" spans="1:11" ht="15.75">
      <c r="A1617" s="2" t="s">
        <v>13</v>
      </c>
      <c r="B1617" s="2"/>
      <c r="C1617" s="2"/>
      <c r="D1617" s="2"/>
      <c r="E1617" s="11">
        <f t="shared" ref="E1617:K1617" si="127">SUM(E1587:E1616)</f>
        <v>25000</v>
      </c>
      <c r="F1617" s="11">
        <f t="shared" si="127"/>
        <v>28900</v>
      </c>
      <c r="G1617" s="11">
        <f t="shared" si="127"/>
        <v>96000</v>
      </c>
      <c r="H1617" s="11">
        <f t="shared" si="127"/>
        <v>149900</v>
      </c>
      <c r="I1617" s="11">
        <f t="shared" si="127"/>
        <v>870166</v>
      </c>
      <c r="J1617" s="11">
        <f t="shared" si="127"/>
        <v>1020066</v>
      </c>
      <c r="K1617" s="11">
        <f t="shared" si="127"/>
        <v>1020994</v>
      </c>
    </row>
    <row r="1618" spans="1:11" ht="15.75">
      <c r="A1618" s="12"/>
      <c r="B1618" s="2"/>
      <c r="C1618" s="2"/>
      <c r="D1618" s="2"/>
      <c r="E1618" s="13">
        <f t="shared" ref="E1618:K1618" si="128">SUM(E1617/11575)</f>
        <v>2.159827213822894</v>
      </c>
      <c r="F1618" s="13">
        <f t="shared" si="128"/>
        <v>2.4967602591792657</v>
      </c>
      <c r="G1618" s="13">
        <f t="shared" si="128"/>
        <v>8.2937365010799144</v>
      </c>
      <c r="H1618" s="13">
        <f t="shared" si="128"/>
        <v>12.950323974082073</v>
      </c>
      <c r="I1618" s="13">
        <f t="shared" si="128"/>
        <v>75.176328293736503</v>
      </c>
      <c r="J1618" s="13">
        <f t="shared" si="128"/>
        <v>88.126652267818571</v>
      </c>
      <c r="K1618" s="13">
        <f t="shared" si="128"/>
        <v>88.206825053995686</v>
      </c>
    </row>
    <row r="1619" spans="1:11" ht="15.75">
      <c r="A1619" s="1" t="s">
        <v>67</v>
      </c>
      <c r="B1619" s="1"/>
      <c r="C1619" s="1"/>
      <c r="D1619" s="1"/>
      <c r="E1619" s="1"/>
      <c r="F1619" s="1"/>
      <c r="G1619" s="1"/>
      <c r="H1619" s="1"/>
      <c r="I1619" s="1"/>
      <c r="J1619" s="1"/>
      <c r="K1619" s="1"/>
    </row>
    <row r="1620" spans="1:11" ht="47.25">
      <c r="A1620" s="2" t="s">
        <v>1</v>
      </c>
      <c r="B1620" s="2" t="s">
        <v>2</v>
      </c>
      <c r="C1620" s="3" t="s">
        <v>18</v>
      </c>
      <c r="D1620" s="3" t="s">
        <v>4</v>
      </c>
      <c r="E1620" s="3" t="s">
        <v>5</v>
      </c>
      <c r="F1620" s="3" t="s">
        <v>6</v>
      </c>
      <c r="G1620" s="3" t="s">
        <v>7</v>
      </c>
      <c r="H1620" s="3" t="s">
        <v>8</v>
      </c>
      <c r="I1620" s="3" t="s">
        <v>9</v>
      </c>
      <c r="J1620" s="3" t="s">
        <v>19</v>
      </c>
      <c r="K1620" s="4" t="s">
        <v>11</v>
      </c>
    </row>
    <row r="1621" spans="1:11" ht="15.75">
      <c r="A1621" s="5">
        <v>45627</v>
      </c>
      <c r="B1621" s="6" t="s">
        <v>12</v>
      </c>
      <c r="C1621" s="7">
        <v>13.99</v>
      </c>
      <c r="D1621" s="7">
        <v>10.9</v>
      </c>
      <c r="E1621" s="8">
        <v>600</v>
      </c>
      <c r="F1621" s="8">
        <v>600</v>
      </c>
      <c r="G1621" s="6">
        <v>3000</v>
      </c>
      <c r="H1621" s="14">
        <f>E1621+F1621+G1621</f>
        <v>4200</v>
      </c>
      <c r="I1621" s="9">
        <v>17382</v>
      </c>
      <c r="J1621" s="9">
        <v>21582</v>
      </c>
      <c r="K1621" s="9">
        <v>21582</v>
      </c>
    </row>
    <row r="1622" spans="1:11" ht="15.75">
      <c r="A1622" s="5">
        <v>45628</v>
      </c>
      <c r="B1622" s="6" t="s">
        <v>12</v>
      </c>
      <c r="C1622" s="7">
        <v>13.99</v>
      </c>
      <c r="D1622" s="7">
        <v>10.9</v>
      </c>
      <c r="E1622" s="8">
        <v>1500</v>
      </c>
      <c r="F1622" s="8">
        <v>600</v>
      </c>
      <c r="G1622" s="8">
        <v>3000</v>
      </c>
      <c r="H1622" s="9">
        <f t="shared" ref="H1622:H1651" si="129">E1622+F1622+G1622</f>
        <v>5100</v>
      </c>
      <c r="I1622" s="9">
        <v>17382</v>
      </c>
      <c r="J1622" s="9">
        <v>22482</v>
      </c>
      <c r="K1622" s="10">
        <v>22482</v>
      </c>
    </row>
    <row r="1623" spans="1:11" ht="15.75">
      <c r="A1623" s="5">
        <v>45629</v>
      </c>
      <c r="B1623" s="6" t="s">
        <v>12</v>
      </c>
      <c r="C1623" s="7">
        <v>13.99</v>
      </c>
      <c r="D1623" s="7">
        <v>10.9</v>
      </c>
      <c r="E1623" s="8">
        <v>2700</v>
      </c>
      <c r="F1623" s="8">
        <v>600</v>
      </c>
      <c r="G1623" s="8">
        <v>3000</v>
      </c>
      <c r="H1623" s="9">
        <f t="shared" si="129"/>
        <v>6300</v>
      </c>
      <c r="I1623" s="9">
        <v>17382</v>
      </c>
      <c r="J1623" s="9">
        <v>23682</v>
      </c>
      <c r="K1623" s="10">
        <v>23682</v>
      </c>
    </row>
    <row r="1624" spans="1:11" ht="15.75">
      <c r="A1624" s="5">
        <v>45630</v>
      </c>
      <c r="B1624" s="6" t="s">
        <v>12</v>
      </c>
      <c r="C1624" s="7">
        <v>13.99</v>
      </c>
      <c r="D1624" s="7">
        <v>10.9</v>
      </c>
      <c r="E1624" s="8">
        <v>2700</v>
      </c>
      <c r="F1624" s="8">
        <v>400</v>
      </c>
      <c r="G1624" s="8">
        <v>3500</v>
      </c>
      <c r="H1624" s="9">
        <f t="shared" si="129"/>
        <v>6600</v>
      </c>
      <c r="I1624" s="9">
        <v>17382</v>
      </c>
      <c r="J1624" s="9">
        <v>23982</v>
      </c>
      <c r="K1624" s="10">
        <v>23982</v>
      </c>
    </row>
    <row r="1625" spans="1:11" ht="15.75">
      <c r="A1625" s="5">
        <v>45631</v>
      </c>
      <c r="B1625" s="6" t="s">
        <v>12</v>
      </c>
      <c r="C1625" s="7">
        <v>13.99</v>
      </c>
      <c r="D1625" s="7">
        <v>10.9</v>
      </c>
      <c r="E1625" s="8">
        <v>2700</v>
      </c>
      <c r="F1625" s="6">
        <v>1000</v>
      </c>
      <c r="G1625" s="8">
        <v>3500</v>
      </c>
      <c r="H1625" s="9">
        <f t="shared" si="129"/>
        <v>7200</v>
      </c>
      <c r="I1625" s="9">
        <v>17382</v>
      </c>
      <c r="J1625" s="9">
        <v>24582</v>
      </c>
      <c r="K1625" s="9">
        <v>24582</v>
      </c>
    </row>
    <row r="1626" spans="1:11" ht="15.75">
      <c r="A1626" s="5">
        <v>45632</v>
      </c>
      <c r="B1626" s="6" t="s">
        <v>12</v>
      </c>
      <c r="C1626" s="7">
        <v>13.99</v>
      </c>
      <c r="D1626" s="7">
        <v>10.9</v>
      </c>
      <c r="E1626" s="8">
        <v>2700</v>
      </c>
      <c r="F1626" s="6">
        <v>1500</v>
      </c>
      <c r="G1626" s="8">
        <v>3500</v>
      </c>
      <c r="H1626" s="9">
        <f t="shared" si="129"/>
        <v>7700</v>
      </c>
      <c r="I1626" s="9">
        <v>17382</v>
      </c>
      <c r="J1626" s="9">
        <v>25082</v>
      </c>
      <c r="K1626" s="10">
        <v>25082</v>
      </c>
    </row>
    <row r="1627" spans="1:11" ht="15.75">
      <c r="A1627" s="5">
        <v>45633</v>
      </c>
      <c r="B1627" s="6" t="s">
        <v>12</v>
      </c>
      <c r="C1627" s="7">
        <v>13.99</v>
      </c>
      <c r="D1627" s="7">
        <v>10.9</v>
      </c>
      <c r="E1627" s="8">
        <v>3000</v>
      </c>
      <c r="F1627" s="6">
        <v>1500</v>
      </c>
      <c r="G1627" s="8">
        <v>4500</v>
      </c>
      <c r="H1627" s="9">
        <f t="shared" si="129"/>
        <v>9000</v>
      </c>
      <c r="I1627" s="9">
        <v>17382</v>
      </c>
      <c r="J1627" s="9">
        <v>26382</v>
      </c>
      <c r="K1627" s="10">
        <v>26382</v>
      </c>
    </row>
    <row r="1628" spans="1:11" ht="15.75">
      <c r="A1628" s="5">
        <v>45634</v>
      </c>
      <c r="B1628" s="6" t="s">
        <v>12</v>
      </c>
      <c r="C1628" s="7">
        <v>13.99</v>
      </c>
      <c r="D1628" s="7">
        <v>10.9</v>
      </c>
      <c r="E1628" s="8">
        <v>3600</v>
      </c>
      <c r="F1628" s="6">
        <v>1500</v>
      </c>
      <c r="G1628" s="8">
        <v>4500</v>
      </c>
      <c r="H1628" s="9">
        <f t="shared" si="129"/>
        <v>9600</v>
      </c>
      <c r="I1628" s="9">
        <v>11183</v>
      </c>
      <c r="J1628" s="9">
        <v>20783</v>
      </c>
      <c r="K1628" s="10">
        <v>20783</v>
      </c>
    </row>
    <row r="1629" spans="1:11" ht="15.75">
      <c r="A1629" s="5">
        <v>45635</v>
      </c>
      <c r="B1629" s="6" t="s">
        <v>12</v>
      </c>
      <c r="C1629" s="7">
        <v>13.99</v>
      </c>
      <c r="D1629" s="7">
        <v>10.9</v>
      </c>
      <c r="E1629" s="8">
        <v>4200</v>
      </c>
      <c r="F1629" s="6">
        <v>1500</v>
      </c>
      <c r="G1629" s="8">
        <v>4500</v>
      </c>
      <c r="H1629" s="9">
        <f t="shared" si="129"/>
        <v>10200</v>
      </c>
      <c r="I1629" s="9">
        <v>17382</v>
      </c>
      <c r="J1629" s="9">
        <v>27582</v>
      </c>
      <c r="K1629" s="10">
        <v>27582</v>
      </c>
    </row>
    <row r="1630" spans="1:11" ht="15.75">
      <c r="A1630" s="5">
        <v>45636</v>
      </c>
      <c r="B1630" s="6" t="s">
        <v>12</v>
      </c>
      <c r="C1630" s="7">
        <v>13.99</v>
      </c>
      <c r="D1630" s="7">
        <v>10.9</v>
      </c>
      <c r="E1630" s="8">
        <v>4200</v>
      </c>
      <c r="F1630" s="6">
        <v>1500</v>
      </c>
      <c r="G1630" s="8">
        <v>4500</v>
      </c>
      <c r="H1630" s="9">
        <f t="shared" si="129"/>
        <v>10200</v>
      </c>
      <c r="I1630" s="9">
        <v>17382</v>
      </c>
      <c r="J1630" s="9">
        <v>27582</v>
      </c>
      <c r="K1630" s="9">
        <v>27582</v>
      </c>
    </row>
    <row r="1631" spans="1:11" ht="15.75">
      <c r="A1631" s="5">
        <v>45637</v>
      </c>
      <c r="B1631" s="6" t="s">
        <v>12</v>
      </c>
      <c r="C1631" s="7">
        <v>13.93</v>
      </c>
      <c r="D1631" s="7">
        <v>10.7</v>
      </c>
      <c r="E1631" s="8">
        <v>4200</v>
      </c>
      <c r="F1631" s="6">
        <v>1500</v>
      </c>
      <c r="G1631" s="8">
        <v>5500</v>
      </c>
      <c r="H1631" s="9">
        <f t="shared" si="129"/>
        <v>11200</v>
      </c>
      <c r="I1631" s="9">
        <v>14043</v>
      </c>
      <c r="J1631" s="9">
        <v>25243</v>
      </c>
      <c r="K1631" s="10">
        <v>24780</v>
      </c>
    </row>
    <row r="1632" spans="1:11" ht="15.75">
      <c r="A1632" s="5">
        <v>45638</v>
      </c>
      <c r="B1632" s="6" t="s">
        <v>12</v>
      </c>
      <c r="C1632" s="7">
        <v>13.96</v>
      </c>
      <c r="D1632" s="7">
        <v>10.8</v>
      </c>
      <c r="E1632" s="8">
        <v>4200</v>
      </c>
      <c r="F1632" s="6">
        <v>1500</v>
      </c>
      <c r="G1632" s="8">
        <v>5500</v>
      </c>
      <c r="H1632" s="9">
        <f t="shared" si="129"/>
        <v>11200</v>
      </c>
      <c r="I1632" s="9">
        <v>6330</v>
      </c>
      <c r="J1632" s="9">
        <v>17530</v>
      </c>
      <c r="K1632" s="9">
        <v>17762</v>
      </c>
    </row>
    <row r="1633" spans="1:11" ht="15.75">
      <c r="A1633" s="5">
        <v>45639</v>
      </c>
      <c r="B1633" s="6" t="s">
        <v>12</v>
      </c>
      <c r="C1633" s="7">
        <v>13.99</v>
      </c>
      <c r="D1633" s="7">
        <v>10.9</v>
      </c>
      <c r="E1633" s="8">
        <v>4500</v>
      </c>
      <c r="F1633" s="6">
        <v>1500</v>
      </c>
      <c r="G1633" s="8">
        <v>5500</v>
      </c>
      <c r="H1633" s="9">
        <f t="shared" si="129"/>
        <v>11500</v>
      </c>
      <c r="I1633" s="9">
        <v>6384</v>
      </c>
      <c r="J1633" s="9">
        <v>17884</v>
      </c>
      <c r="K1633" s="10">
        <v>18116</v>
      </c>
    </row>
    <row r="1634" spans="1:11" ht="15.75">
      <c r="A1634" s="5">
        <v>45640</v>
      </c>
      <c r="B1634" s="6" t="s">
        <v>12</v>
      </c>
      <c r="C1634" s="7">
        <v>13.99</v>
      </c>
      <c r="D1634" s="7">
        <v>10.9</v>
      </c>
      <c r="E1634" s="8">
        <v>4500</v>
      </c>
      <c r="F1634" s="6">
        <v>1500</v>
      </c>
      <c r="G1634" s="6">
        <v>5500</v>
      </c>
      <c r="H1634" s="9">
        <f t="shared" si="129"/>
        <v>11500</v>
      </c>
      <c r="I1634" s="9">
        <v>6384</v>
      </c>
      <c r="J1634" s="9">
        <v>17884</v>
      </c>
      <c r="K1634" s="10">
        <v>17884</v>
      </c>
    </row>
    <row r="1635" spans="1:11" ht="15.75">
      <c r="A1635" s="5">
        <v>45641</v>
      </c>
      <c r="B1635" s="6" t="s">
        <v>12</v>
      </c>
      <c r="C1635" s="7">
        <v>13.99</v>
      </c>
      <c r="D1635" s="7">
        <v>10.9</v>
      </c>
      <c r="E1635" s="8">
        <v>4500</v>
      </c>
      <c r="F1635" s="6">
        <v>1500</v>
      </c>
      <c r="G1635" s="6">
        <v>5500</v>
      </c>
      <c r="H1635" s="9">
        <f t="shared" si="129"/>
        <v>11500</v>
      </c>
      <c r="I1635" s="9">
        <v>9484</v>
      </c>
      <c r="J1635" s="9">
        <v>20984</v>
      </c>
      <c r="K1635" s="9">
        <v>20984</v>
      </c>
    </row>
    <row r="1636" spans="1:11" ht="15.75">
      <c r="A1636" s="5">
        <v>45642</v>
      </c>
      <c r="B1636" s="6" t="s">
        <v>12</v>
      </c>
      <c r="C1636" s="7">
        <v>13.99</v>
      </c>
      <c r="D1636" s="7">
        <v>10.9</v>
      </c>
      <c r="E1636" s="8">
        <v>4800</v>
      </c>
      <c r="F1636" s="6">
        <v>2300</v>
      </c>
      <c r="G1636" s="6">
        <v>5500</v>
      </c>
      <c r="H1636" s="9">
        <f t="shared" si="129"/>
        <v>12600</v>
      </c>
      <c r="I1636" s="9">
        <v>0</v>
      </c>
      <c r="J1636" s="9">
        <v>12600</v>
      </c>
      <c r="K1636" s="10">
        <v>12600</v>
      </c>
    </row>
    <row r="1637" spans="1:11" ht="15.75">
      <c r="A1637" s="5">
        <v>45643</v>
      </c>
      <c r="B1637" s="6" t="s">
        <v>12</v>
      </c>
      <c r="C1637" s="7">
        <v>13.96</v>
      </c>
      <c r="D1637" s="7">
        <v>10.8</v>
      </c>
      <c r="E1637" s="8">
        <v>4600</v>
      </c>
      <c r="F1637" s="6">
        <v>2300</v>
      </c>
      <c r="G1637" s="6">
        <v>5500</v>
      </c>
      <c r="H1637" s="9">
        <f t="shared" si="129"/>
        <v>12400</v>
      </c>
      <c r="I1637" s="9">
        <v>0</v>
      </c>
      <c r="J1637" s="9">
        <v>12400</v>
      </c>
      <c r="K1637" s="10">
        <v>12168</v>
      </c>
    </row>
    <row r="1638" spans="1:11" ht="15.75">
      <c r="A1638" s="5">
        <v>45644</v>
      </c>
      <c r="B1638" s="6" t="s">
        <v>12</v>
      </c>
      <c r="C1638" s="7">
        <v>13.92</v>
      </c>
      <c r="D1638" s="7">
        <v>10.65</v>
      </c>
      <c r="E1638" s="8">
        <v>3700</v>
      </c>
      <c r="F1638" s="6">
        <v>2000</v>
      </c>
      <c r="G1638" s="6">
        <v>6000</v>
      </c>
      <c r="H1638" s="9">
        <f t="shared" si="129"/>
        <v>11700</v>
      </c>
      <c r="I1638" s="9">
        <v>0</v>
      </c>
      <c r="J1638" s="9">
        <v>11700</v>
      </c>
      <c r="K1638" s="9">
        <v>11315</v>
      </c>
    </row>
    <row r="1639" spans="1:11" ht="15.75">
      <c r="A1639" s="5">
        <v>45645</v>
      </c>
      <c r="B1639" s="6" t="s">
        <v>12</v>
      </c>
      <c r="C1639" s="7">
        <v>13.85</v>
      </c>
      <c r="D1639" s="7">
        <v>10.45</v>
      </c>
      <c r="E1639" s="8">
        <v>3700</v>
      </c>
      <c r="F1639" s="6">
        <v>2000</v>
      </c>
      <c r="G1639" s="6">
        <v>6000</v>
      </c>
      <c r="H1639" s="9">
        <f t="shared" si="129"/>
        <v>11700</v>
      </c>
      <c r="I1639" s="9">
        <v>0</v>
      </c>
      <c r="J1639" s="9">
        <v>11700</v>
      </c>
      <c r="K1639" s="10">
        <v>11237</v>
      </c>
    </row>
    <row r="1640" spans="1:11" ht="15.75">
      <c r="A1640" s="5">
        <v>45646</v>
      </c>
      <c r="B1640" s="6" t="s">
        <v>12</v>
      </c>
      <c r="C1640" s="7">
        <v>13.72</v>
      </c>
      <c r="D1640" s="7">
        <v>10</v>
      </c>
      <c r="E1640" s="8">
        <v>3900</v>
      </c>
      <c r="F1640" s="8">
        <v>2000</v>
      </c>
      <c r="G1640" s="6">
        <v>6000</v>
      </c>
      <c r="H1640" s="9">
        <f t="shared" si="129"/>
        <v>11900</v>
      </c>
      <c r="I1640" s="9">
        <v>0</v>
      </c>
      <c r="J1640" s="9">
        <v>11900</v>
      </c>
      <c r="K1640" s="10">
        <v>10897</v>
      </c>
    </row>
    <row r="1641" spans="1:11" ht="15.75">
      <c r="A1641" s="5">
        <v>45647</v>
      </c>
      <c r="B1641" s="6" t="s">
        <v>12</v>
      </c>
      <c r="C1641" s="7">
        <v>13.67</v>
      </c>
      <c r="D1641" s="7">
        <v>9.85</v>
      </c>
      <c r="E1641" s="8">
        <v>2875</v>
      </c>
      <c r="F1641" s="8">
        <v>1500</v>
      </c>
      <c r="G1641" s="6">
        <v>5000</v>
      </c>
      <c r="H1641" s="9">
        <f t="shared" si="129"/>
        <v>9375</v>
      </c>
      <c r="I1641" s="9">
        <v>0</v>
      </c>
      <c r="J1641" s="9">
        <v>9375</v>
      </c>
      <c r="K1641" s="9">
        <v>8990</v>
      </c>
    </row>
    <row r="1642" spans="1:11" ht="15.75">
      <c r="A1642" s="5">
        <v>45648</v>
      </c>
      <c r="B1642" s="6" t="s">
        <v>12</v>
      </c>
      <c r="C1642" s="7">
        <v>13.63</v>
      </c>
      <c r="D1642" s="7">
        <v>9.6999999999999993</v>
      </c>
      <c r="E1642" s="8">
        <v>2875</v>
      </c>
      <c r="F1642" s="8">
        <v>1870</v>
      </c>
      <c r="G1642" s="6">
        <v>5000</v>
      </c>
      <c r="H1642" s="9">
        <f t="shared" si="129"/>
        <v>9745</v>
      </c>
      <c r="I1642" s="9">
        <v>0</v>
      </c>
      <c r="J1642" s="9">
        <v>9745</v>
      </c>
      <c r="K1642" s="9">
        <v>9436</v>
      </c>
    </row>
    <row r="1643" spans="1:11" ht="15.75">
      <c r="A1643" s="5">
        <v>45649</v>
      </c>
      <c r="B1643" s="6" t="s">
        <v>12</v>
      </c>
      <c r="C1643" s="7">
        <v>13.6</v>
      </c>
      <c r="D1643" s="7">
        <v>9.6</v>
      </c>
      <c r="E1643" s="8">
        <v>2875</v>
      </c>
      <c r="F1643" s="8">
        <v>1870</v>
      </c>
      <c r="G1643" s="6">
        <v>5000</v>
      </c>
      <c r="H1643" s="9">
        <f t="shared" si="129"/>
        <v>9745</v>
      </c>
      <c r="I1643" s="9">
        <v>0</v>
      </c>
      <c r="J1643" s="9">
        <v>9745</v>
      </c>
      <c r="K1643" s="9">
        <v>9514</v>
      </c>
    </row>
    <row r="1644" spans="1:11" ht="15.75">
      <c r="A1644" s="5">
        <v>45650</v>
      </c>
      <c r="B1644" s="6" t="s">
        <v>12</v>
      </c>
      <c r="C1644" s="7">
        <v>13.58</v>
      </c>
      <c r="D1644" s="7">
        <v>9.5500000000000007</v>
      </c>
      <c r="E1644" s="8">
        <v>2875</v>
      </c>
      <c r="F1644" s="8">
        <v>1870</v>
      </c>
      <c r="G1644" s="6">
        <v>5000</v>
      </c>
      <c r="H1644" s="9">
        <f t="shared" si="129"/>
        <v>9745</v>
      </c>
      <c r="I1644" s="9">
        <v>0</v>
      </c>
      <c r="J1644" s="9">
        <v>9745</v>
      </c>
      <c r="K1644" s="9">
        <v>9591</v>
      </c>
    </row>
    <row r="1645" spans="1:11" ht="15.75">
      <c r="A1645" s="5">
        <v>45651</v>
      </c>
      <c r="B1645" s="6" t="s">
        <v>12</v>
      </c>
      <c r="C1645" s="7">
        <v>13.57</v>
      </c>
      <c r="D1645" s="7">
        <v>9.5</v>
      </c>
      <c r="E1645" s="8">
        <v>2875</v>
      </c>
      <c r="F1645" s="8">
        <v>1870</v>
      </c>
      <c r="G1645" s="6">
        <v>5000</v>
      </c>
      <c r="H1645" s="9">
        <f t="shared" si="129"/>
        <v>9745</v>
      </c>
      <c r="I1645" s="9">
        <v>0</v>
      </c>
      <c r="J1645" s="9">
        <v>9745</v>
      </c>
      <c r="K1645" s="9">
        <v>9667</v>
      </c>
    </row>
    <row r="1646" spans="1:11" ht="15.75">
      <c r="A1646" s="5">
        <v>45652</v>
      </c>
      <c r="B1646" s="6" t="s">
        <v>12</v>
      </c>
      <c r="C1646" s="7">
        <v>13.78</v>
      </c>
      <c r="D1646" s="7">
        <v>10.199999999999999</v>
      </c>
      <c r="E1646" s="8">
        <v>2875</v>
      </c>
      <c r="F1646" s="8">
        <v>1870</v>
      </c>
      <c r="G1646" s="6">
        <v>5000</v>
      </c>
      <c r="H1646" s="9">
        <f t="shared" si="129"/>
        <v>9745</v>
      </c>
      <c r="I1646" s="9">
        <v>0</v>
      </c>
      <c r="J1646" s="9">
        <v>9745</v>
      </c>
      <c r="K1646" s="9">
        <v>11366</v>
      </c>
    </row>
    <row r="1647" spans="1:11" ht="15.75">
      <c r="A1647" s="5">
        <v>45653</v>
      </c>
      <c r="B1647" s="6" t="s">
        <v>12</v>
      </c>
      <c r="C1647" s="7">
        <v>13.89</v>
      </c>
      <c r="D1647" s="7">
        <v>10.55</v>
      </c>
      <c r="E1647" s="8">
        <v>2875</v>
      </c>
      <c r="F1647" s="8">
        <v>1870</v>
      </c>
      <c r="G1647" s="6">
        <v>5000</v>
      </c>
      <c r="H1647" s="9">
        <f t="shared" si="129"/>
        <v>9745</v>
      </c>
      <c r="I1647" s="9">
        <v>0</v>
      </c>
      <c r="J1647" s="9">
        <v>9745</v>
      </c>
      <c r="K1647" s="9">
        <v>10593</v>
      </c>
    </row>
    <row r="1648" spans="1:11" ht="15.75">
      <c r="A1648" s="5">
        <v>45654</v>
      </c>
      <c r="B1648" s="6" t="s">
        <v>12</v>
      </c>
      <c r="C1648" s="7">
        <v>13.99</v>
      </c>
      <c r="D1648" s="7">
        <v>10.9</v>
      </c>
      <c r="E1648" s="8">
        <v>2875</v>
      </c>
      <c r="F1648" s="8">
        <v>1870</v>
      </c>
      <c r="G1648" s="6">
        <v>5000</v>
      </c>
      <c r="H1648" s="9">
        <f t="shared" si="129"/>
        <v>9745</v>
      </c>
      <c r="I1648" s="9">
        <v>0</v>
      </c>
      <c r="J1648" s="9">
        <v>9745</v>
      </c>
      <c r="K1648" s="9">
        <v>10517</v>
      </c>
    </row>
    <row r="1649" spans="1:11" ht="15.75">
      <c r="A1649" s="5">
        <v>45655</v>
      </c>
      <c r="B1649" s="6" t="s">
        <v>12</v>
      </c>
      <c r="C1649" s="7">
        <v>13.99</v>
      </c>
      <c r="D1649" s="7">
        <v>10.9</v>
      </c>
      <c r="E1649" s="8">
        <v>3300</v>
      </c>
      <c r="F1649" s="8">
        <v>2150</v>
      </c>
      <c r="G1649" s="6">
        <v>5750</v>
      </c>
      <c r="H1649" s="9">
        <f t="shared" si="129"/>
        <v>11200</v>
      </c>
      <c r="I1649" s="9">
        <v>0</v>
      </c>
      <c r="J1649" s="9">
        <v>11200</v>
      </c>
      <c r="K1649" s="9">
        <v>11200</v>
      </c>
    </row>
    <row r="1650" spans="1:11" ht="15.75">
      <c r="A1650" s="5">
        <v>45656</v>
      </c>
      <c r="B1650" s="6" t="s">
        <v>12</v>
      </c>
      <c r="C1650" s="7">
        <v>13.99</v>
      </c>
      <c r="D1650" s="7">
        <v>10.9</v>
      </c>
      <c r="E1650" s="8">
        <v>3300</v>
      </c>
      <c r="F1650" s="8">
        <v>2150</v>
      </c>
      <c r="G1650" s="6">
        <v>5750</v>
      </c>
      <c r="H1650" s="9">
        <f t="shared" si="129"/>
        <v>11200</v>
      </c>
      <c r="I1650" s="9">
        <v>0</v>
      </c>
      <c r="J1650" s="9">
        <v>11200</v>
      </c>
      <c r="K1650" s="9">
        <v>11200</v>
      </c>
    </row>
    <row r="1651" spans="1:11" ht="15.75">
      <c r="A1651" s="5">
        <v>45657</v>
      </c>
      <c r="B1651" s="6" t="s">
        <v>12</v>
      </c>
      <c r="C1651" s="7">
        <v>13.99</v>
      </c>
      <c r="D1651" s="7">
        <v>10.9</v>
      </c>
      <c r="E1651" s="8">
        <v>3300</v>
      </c>
      <c r="F1651" s="8">
        <v>2150</v>
      </c>
      <c r="G1651" s="6">
        <v>5750</v>
      </c>
      <c r="H1651" s="9">
        <f t="shared" si="129"/>
        <v>11200</v>
      </c>
      <c r="I1651" s="9">
        <v>0</v>
      </c>
      <c r="J1651" s="9">
        <v>11200</v>
      </c>
      <c r="K1651" s="9">
        <v>11200</v>
      </c>
    </row>
    <row r="1652" spans="1:11" ht="15.75">
      <c r="A1652" s="2" t="s">
        <v>13</v>
      </c>
      <c r="B1652" s="2"/>
      <c r="C1652" s="2"/>
      <c r="D1652" s="2"/>
      <c r="E1652" s="11">
        <f t="shared" ref="E1652:K1652" si="130">SUM(E1621:E1650)</f>
        <v>100100</v>
      </c>
      <c r="F1652" s="11">
        <f t="shared" si="130"/>
        <v>47690</v>
      </c>
      <c r="G1652" s="11">
        <f t="shared" si="130"/>
        <v>145500</v>
      </c>
      <c r="H1652" s="11">
        <f t="shared" si="130"/>
        <v>293290</v>
      </c>
      <c r="I1652" s="11">
        <f t="shared" si="130"/>
        <v>210246</v>
      </c>
      <c r="J1652" s="11">
        <f t="shared" si="130"/>
        <v>503536</v>
      </c>
      <c r="K1652" s="11">
        <f t="shared" si="130"/>
        <v>503538</v>
      </c>
    </row>
    <row r="1653" spans="1:11" ht="15.75">
      <c r="A1653" s="12"/>
      <c r="B1653" s="2"/>
      <c r="C1653" s="2"/>
      <c r="D1653" s="2"/>
      <c r="E1653" s="13">
        <f t="shared" ref="E1653:K1653" si="131">SUM(E1652/11575)</f>
        <v>8.6479481641468681</v>
      </c>
      <c r="F1653" s="13">
        <f t="shared" si="131"/>
        <v>4.1200863930885525</v>
      </c>
      <c r="G1653" s="13">
        <f t="shared" si="131"/>
        <v>12.570194384449245</v>
      </c>
      <c r="H1653" s="13">
        <f t="shared" si="131"/>
        <v>25.338228941684665</v>
      </c>
      <c r="I1653" s="13">
        <f t="shared" si="131"/>
        <v>18.163801295896327</v>
      </c>
      <c r="J1653" s="13">
        <f t="shared" si="131"/>
        <v>43.502030237580996</v>
      </c>
      <c r="K1653" s="13">
        <f t="shared" si="131"/>
        <v>43.502203023758099</v>
      </c>
    </row>
    <row r="1654" spans="1:11" ht="15.75">
      <c r="A1654" s="1" t="s">
        <v>68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</row>
    <row r="1655" spans="1:11" ht="47.25">
      <c r="A1655" s="2" t="s">
        <v>1</v>
      </c>
      <c r="B1655" s="2" t="s">
        <v>2</v>
      </c>
      <c r="C1655" s="3" t="s">
        <v>18</v>
      </c>
      <c r="D1655" s="3" t="s">
        <v>4</v>
      </c>
      <c r="E1655" s="3" t="s">
        <v>5</v>
      </c>
      <c r="F1655" s="3" t="s">
        <v>6</v>
      </c>
      <c r="G1655" s="3" t="s">
        <v>7</v>
      </c>
      <c r="H1655" s="3" t="s">
        <v>8</v>
      </c>
      <c r="I1655" s="3" t="s">
        <v>9</v>
      </c>
      <c r="J1655" s="3" t="s">
        <v>19</v>
      </c>
      <c r="K1655" s="4" t="s">
        <v>11</v>
      </c>
    </row>
    <row r="1656" spans="1:11" ht="15.75">
      <c r="A1656" s="5">
        <v>45658</v>
      </c>
      <c r="B1656" s="6" t="s">
        <v>12</v>
      </c>
      <c r="C1656" s="7">
        <v>13.99</v>
      </c>
      <c r="D1656" s="7">
        <v>10.9</v>
      </c>
      <c r="E1656" s="8">
        <v>3300</v>
      </c>
      <c r="F1656" s="8">
        <v>2150</v>
      </c>
      <c r="G1656" s="6">
        <v>5750</v>
      </c>
      <c r="H1656" s="14">
        <f>E1656+F1656+G1656</f>
        <v>11200</v>
      </c>
      <c r="I1656" s="9">
        <v>0</v>
      </c>
      <c r="J1656" s="9">
        <v>11200</v>
      </c>
      <c r="K1656" s="9">
        <v>11200</v>
      </c>
    </row>
    <row r="1657" spans="1:11" ht="15.75">
      <c r="A1657" s="5">
        <v>45659</v>
      </c>
      <c r="B1657" s="6" t="s">
        <v>12</v>
      </c>
      <c r="C1657" s="7">
        <v>13.99</v>
      </c>
      <c r="D1657" s="7">
        <v>10.9</v>
      </c>
      <c r="E1657" s="8">
        <v>3300</v>
      </c>
      <c r="F1657" s="8">
        <v>2150</v>
      </c>
      <c r="G1657" s="6">
        <v>5750</v>
      </c>
      <c r="H1657" s="9">
        <f t="shared" ref="H1657:H1686" si="132">E1657+F1657+G1657</f>
        <v>11200</v>
      </c>
      <c r="I1657" s="9">
        <v>0</v>
      </c>
      <c r="J1657" s="9">
        <v>11200</v>
      </c>
      <c r="K1657" s="9">
        <v>11200</v>
      </c>
    </row>
    <row r="1658" spans="1:11" ht="15.75">
      <c r="A1658" s="5">
        <v>45660</v>
      </c>
      <c r="B1658" s="6" t="s">
        <v>12</v>
      </c>
      <c r="C1658" s="7">
        <v>13.99</v>
      </c>
      <c r="D1658" s="7">
        <v>10.9</v>
      </c>
      <c r="E1658" s="8">
        <v>3780</v>
      </c>
      <c r="F1658" s="8">
        <v>2460</v>
      </c>
      <c r="G1658" s="8">
        <v>6570</v>
      </c>
      <c r="H1658" s="9">
        <f t="shared" si="132"/>
        <v>12810</v>
      </c>
      <c r="I1658" s="9">
        <v>0</v>
      </c>
      <c r="J1658" s="9">
        <v>12810</v>
      </c>
      <c r="K1658" s="10">
        <v>12810</v>
      </c>
    </row>
    <row r="1659" spans="1:11" ht="15.75">
      <c r="A1659" s="5">
        <v>45661</v>
      </c>
      <c r="B1659" s="6" t="s">
        <v>12</v>
      </c>
      <c r="C1659" s="7">
        <v>13.99</v>
      </c>
      <c r="D1659" s="7">
        <v>10.9</v>
      </c>
      <c r="E1659" s="8">
        <v>3780</v>
      </c>
      <c r="F1659" s="8">
        <v>2460</v>
      </c>
      <c r="G1659" s="8">
        <v>6570</v>
      </c>
      <c r="H1659" s="9">
        <f t="shared" si="132"/>
        <v>12810</v>
      </c>
      <c r="I1659" s="9">
        <v>0</v>
      </c>
      <c r="J1659" s="9">
        <v>12810</v>
      </c>
      <c r="K1659" s="10">
        <v>12810</v>
      </c>
    </row>
    <row r="1660" spans="1:11" ht="15.75">
      <c r="A1660" s="5">
        <v>45662</v>
      </c>
      <c r="B1660" s="6" t="s">
        <v>12</v>
      </c>
      <c r="C1660" s="7">
        <v>13.99</v>
      </c>
      <c r="D1660" s="7">
        <v>10.9</v>
      </c>
      <c r="E1660" s="8">
        <v>3780</v>
      </c>
      <c r="F1660" s="8">
        <v>2460</v>
      </c>
      <c r="G1660" s="8">
        <v>6570</v>
      </c>
      <c r="H1660" s="9">
        <f t="shared" si="132"/>
        <v>12810</v>
      </c>
      <c r="I1660" s="9">
        <v>0</v>
      </c>
      <c r="J1660" s="9">
        <v>12810</v>
      </c>
      <c r="K1660" s="10">
        <v>12810</v>
      </c>
    </row>
    <row r="1661" spans="1:11" ht="15.75">
      <c r="A1661" s="5">
        <v>45663</v>
      </c>
      <c r="B1661" s="6" t="s">
        <v>12</v>
      </c>
      <c r="C1661" s="7">
        <v>13.99</v>
      </c>
      <c r="D1661" s="7">
        <v>10.9</v>
      </c>
      <c r="E1661" s="8">
        <v>3780</v>
      </c>
      <c r="F1661" s="8">
        <v>2460</v>
      </c>
      <c r="G1661" s="8">
        <v>6570</v>
      </c>
      <c r="H1661" s="9">
        <f t="shared" si="132"/>
        <v>12810</v>
      </c>
      <c r="I1661" s="9">
        <v>0</v>
      </c>
      <c r="J1661" s="9">
        <v>12810</v>
      </c>
      <c r="K1661" s="10">
        <v>12810</v>
      </c>
    </row>
    <row r="1662" spans="1:11" ht="15.75">
      <c r="A1662" s="5">
        <v>45664</v>
      </c>
      <c r="B1662" s="6" t="s">
        <v>12</v>
      </c>
      <c r="C1662" s="7">
        <v>13.99</v>
      </c>
      <c r="D1662" s="7">
        <v>10.9</v>
      </c>
      <c r="E1662" s="8">
        <v>3780</v>
      </c>
      <c r="F1662" s="8">
        <v>2460</v>
      </c>
      <c r="G1662" s="8">
        <v>6570</v>
      </c>
      <c r="H1662" s="9">
        <f t="shared" si="132"/>
        <v>12810</v>
      </c>
      <c r="I1662" s="9">
        <v>0</v>
      </c>
      <c r="J1662" s="9">
        <v>12810</v>
      </c>
      <c r="K1662" s="10">
        <v>12810</v>
      </c>
    </row>
    <row r="1663" spans="1:11" ht="15.75">
      <c r="A1663" s="5">
        <v>45665</v>
      </c>
      <c r="B1663" s="6" t="s">
        <v>12</v>
      </c>
      <c r="C1663" s="7">
        <v>13.99</v>
      </c>
      <c r="D1663" s="7">
        <v>10.9</v>
      </c>
      <c r="E1663" s="8">
        <v>3780</v>
      </c>
      <c r="F1663" s="8">
        <v>2460</v>
      </c>
      <c r="G1663" s="8">
        <v>6570</v>
      </c>
      <c r="H1663" s="9">
        <f t="shared" si="132"/>
        <v>12810</v>
      </c>
      <c r="I1663" s="9">
        <v>0</v>
      </c>
      <c r="J1663" s="9">
        <v>12810</v>
      </c>
      <c r="K1663" s="10">
        <v>12810</v>
      </c>
    </row>
    <row r="1664" spans="1:11" ht="15.75">
      <c r="A1664" s="5">
        <v>45666</v>
      </c>
      <c r="B1664" s="6" t="s">
        <v>12</v>
      </c>
      <c r="C1664" s="7">
        <v>13.99</v>
      </c>
      <c r="D1664" s="7">
        <v>10.9</v>
      </c>
      <c r="E1664" s="8">
        <v>3780</v>
      </c>
      <c r="F1664" s="8">
        <v>2460</v>
      </c>
      <c r="G1664" s="8">
        <v>5000</v>
      </c>
      <c r="H1664" s="9">
        <f t="shared" si="132"/>
        <v>11240</v>
      </c>
      <c r="I1664" s="9">
        <v>0</v>
      </c>
      <c r="J1664" s="9">
        <v>11240</v>
      </c>
      <c r="K1664" s="10">
        <v>11240</v>
      </c>
    </row>
    <row r="1665" spans="1:11" ht="15.75">
      <c r="A1665" s="5">
        <v>45667</v>
      </c>
      <c r="B1665" s="6" t="s">
        <v>12</v>
      </c>
      <c r="C1665" s="7">
        <v>13.99</v>
      </c>
      <c r="D1665" s="7">
        <v>10.9</v>
      </c>
      <c r="E1665" s="8">
        <v>3780</v>
      </c>
      <c r="F1665" s="8">
        <v>2460</v>
      </c>
      <c r="G1665" s="8">
        <v>5800</v>
      </c>
      <c r="H1665" s="9">
        <f t="shared" si="132"/>
        <v>12040</v>
      </c>
      <c r="I1665" s="9">
        <v>0</v>
      </c>
      <c r="J1665" s="9">
        <v>12040</v>
      </c>
      <c r="K1665" s="9">
        <v>12040</v>
      </c>
    </row>
    <row r="1666" spans="1:11" ht="15.75">
      <c r="A1666" s="5">
        <v>45668</v>
      </c>
      <c r="B1666" s="6" t="s">
        <v>12</v>
      </c>
      <c r="C1666" s="7">
        <v>13.99</v>
      </c>
      <c r="D1666" s="7">
        <v>10.9</v>
      </c>
      <c r="E1666" s="8">
        <v>3780</v>
      </c>
      <c r="F1666" s="6">
        <v>2460</v>
      </c>
      <c r="G1666" s="8">
        <v>5800</v>
      </c>
      <c r="H1666" s="9">
        <f t="shared" si="132"/>
        <v>12040</v>
      </c>
      <c r="I1666" s="9">
        <v>0</v>
      </c>
      <c r="J1666" s="9">
        <v>12040</v>
      </c>
      <c r="K1666" s="10">
        <v>12040</v>
      </c>
    </row>
    <row r="1667" spans="1:11" ht="15.75">
      <c r="A1667" s="5">
        <v>45669</v>
      </c>
      <c r="B1667" s="6" t="s">
        <v>12</v>
      </c>
      <c r="C1667" s="7">
        <v>13.99</v>
      </c>
      <c r="D1667" s="7">
        <v>10.9</v>
      </c>
      <c r="E1667" s="8">
        <v>3780</v>
      </c>
      <c r="F1667" s="6">
        <v>2460</v>
      </c>
      <c r="G1667" s="8">
        <v>5800</v>
      </c>
      <c r="H1667" s="9">
        <f t="shared" si="132"/>
        <v>12040</v>
      </c>
      <c r="I1667" s="9">
        <v>0</v>
      </c>
      <c r="J1667" s="9">
        <v>12040</v>
      </c>
      <c r="K1667" s="10">
        <v>12040</v>
      </c>
    </row>
    <row r="1668" spans="1:11" ht="15.75">
      <c r="A1668" s="5">
        <v>45670</v>
      </c>
      <c r="B1668" s="6" t="s">
        <v>12</v>
      </c>
      <c r="C1668" s="7">
        <v>13.99</v>
      </c>
      <c r="D1668" s="7">
        <v>10.9</v>
      </c>
      <c r="E1668" s="8">
        <v>3780</v>
      </c>
      <c r="F1668" s="6">
        <v>2460</v>
      </c>
      <c r="G1668" s="8">
        <v>5800</v>
      </c>
      <c r="H1668" s="9">
        <f t="shared" si="132"/>
        <v>12040</v>
      </c>
      <c r="I1668" s="9">
        <v>0</v>
      </c>
      <c r="J1668" s="9">
        <v>12040</v>
      </c>
      <c r="K1668" s="10">
        <v>12040</v>
      </c>
    </row>
    <row r="1669" spans="1:11" ht="15.75">
      <c r="A1669" s="5">
        <v>45671</v>
      </c>
      <c r="B1669" s="6" t="s">
        <v>12</v>
      </c>
      <c r="C1669" s="7">
        <v>13.99</v>
      </c>
      <c r="D1669" s="7">
        <v>10.9</v>
      </c>
      <c r="E1669" s="8">
        <v>3780</v>
      </c>
      <c r="F1669" s="6">
        <v>2460</v>
      </c>
      <c r="G1669" s="8">
        <v>5800</v>
      </c>
      <c r="H1669" s="9">
        <f t="shared" si="132"/>
        <v>12040</v>
      </c>
      <c r="I1669" s="9">
        <v>0</v>
      </c>
      <c r="J1669" s="9">
        <v>12040</v>
      </c>
      <c r="K1669" s="10">
        <v>12040</v>
      </c>
    </row>
    <row r="1670" spans="1:11" ht="15.75">
      <c r="A1670" s="5">
        <v>45672</v>
      </c>
      <c r="B1670" s="6" t="s">
        <v>12</v>
      </c>
      <c r="C1670" s="7">
        <v>13.99</v>
      </c>
      <c r="D1670" s="7">
        <v>10.9</v>
      </c>
      <c r="E1670" s="8">
        <v>3780</v>
      </c>
      <c r="F1670" s="6">
        <v>2460</v>
      </c>
      <c r="G1670" s="8">
        <v>5800</v>
      </c>
      <c r="H1670" s="9">
        <f t="shared" si="132"/>
        <v>12040</v>
      </c>
      <c r="I1670" s="9">
        <v>0</v>
      </c>
      <c r="J1670" s="9">
        <v>12040</v>
      </c>
      <c r="K1670" s="10">
        <v>12040</v>
      </c>
    </row>
    <row r="1671" spans="1:11" ht="15.75">
      <c r="A1671" s="5">
        <v>45673</v>
      </c>
      <c r="B1671" s="6" t="s">
        <v>12</v>
      </c>
      <c r="C1671" s="7">
        <v>13.99</v>
      </c>
      <c r="D1671" s="7">
        <v>10.9</v>
      </c>
      <c r="E1671" s="8">
        <v>3780</v>
      </c>
      <c r="F1671" s="6">
        <v>2460</v>
      </c>
      <c r="G1671" s="8">
        <v>5800</v>
      </c>
      <c r="H1671" s="9">
        <f t="shared" si="132"/>
        <v>12040</v>
      </c>
      <c r="I1671" s="9">
        <v>0</v>
      </c>
      <c r="J1671" s="9">
        <v>12040</v>
      </c>
      <c r="K1671" s="10">
        <v>12040</v>
      </c>
    </row>
    <row r="1672" spans="1:11" ht="15.75">
      <c r="A1672" s="5">
        <v>45674</v>
      </c>
      <c r="B1672" s="6" t="s">
        <v>12</v>
      </c>
      <c r="C1672" s="7">
        <v>13.99</v>
      </c>
      <c r="D1672" s="7">
        <v>10.9</v>
      </c>
      <c r="E1672" s="8">
        <v>2875</v>
      </c>
      <c r="F1672" s="6">
        <v>1870</v>
      </c>
      <c r="G1672" s="6">
        <v>5000</v>
      </c>
      <c r="H1672" s="9">
        <f t="shared" si="132"/>
        <v>9745</v>
      </c>
      <c r="I1672" s="9">
        <v>0</v>
      </c>
      <c r="J1672" s="9">
        <v>9745</v>
      </c>
      <c r="K1672" s="10">
        <v>9745</v>
      </c>
    </row>
    <row r="1673" spans="1:11" ht="15.75">
      <c r="A1673" s="5">
        <v>45675</v>
      </c>
      <c r="B1673" s="6" t="s">
        <v>12</v>
      </c>
      <c r="C1673" s="7">
        <v>13.93</v>
      </c>
      <c r="D1673" s="7">
        <v>10.7</v>
      </c>
      <c r="E1673" s="8">
        <v>2875</v>
      </c>
      <c r="F1673" s="6">
        <v>1870</v>
      </c>
      <c r="G1673" s="6">
        <v>5000</v>
      </c>
      <c r="H1673" s="9">
        <f t="shared" si="132"/>
        <v>9745</v>
      </c>
      <c r="I1673" s="9">
        <v>0</v>
      </c>
      <c r="J1673" s="9">
        <v>9745</v>
      </c>
      <c r="K1673" s="9">
        <v>9282</v>
      </c>
    </row>
    <row r="1674" spans="1:11" ht="15.75">
      <c r="A1674" s="5">
        <v>45676</v>
      </c>
      <c r="B1674" s="6" t="s">
        <v>12</v>
      </c>
      <c r="C1674" s="7">
        <v>13.72</v>
      </c>
      <c r="D1674" s="7">
        <v>10</v>
      </c>
      <c r="E1674" s="8">
        <v>2875</v>
      </c>
      <c r="F1674" s="6">
        <v>1870</v>
      </c>
      <c r="G1674" s="6">
        <v>5000</v>
      </c>
      <c r="H1674" s="9">
        <f t="shared" si="132"/>
        <v>9745</v>
      </c>
      <c r="I1674" s="9">
        <v>0</v>
      </c>
      <c r="J1674" s="9">
        <v>9745</v>
      </c>
      <c r="K1674" s="10">
        <v>8124</v>
      </c>
    </row>
    <row r="1675" spans="1:11" ht="15.75">
      <c r="A1675" s="5">
        <v>45677</v>
      </c>
      <c r="B1675" s="6" t="s">
        <v>12</v>
      </c>
      <c r="C1675" s="7">
        <v>13.6</v>
      </c>
      <c r="D1675" s="7">
        <v>9.6</v>
      </c>
      <c r="E1675" s="8">
        <v>2875</v>
      </c>
      <c r="F1675" s="8">
        <v>1870</v>
      </c>
      <c r="G1675" s="8">
        <v>5000</v>
      </c>
      <c r="H1675" s="9">
        <f t="shared" si="132"/>
        <v>9745</v>
      </c>
      <c r="I1675" s="9">
        <v>0</v>
      </c>
      <c r="J1675" s="9">
        <v>9745</v>
      </c>
      <c r="K1675" s="10">
        <v>8818</v>
      </c>
    </row>
    <row r="1676" spans="1:11" ht="15.75">
      <c r="A1676" s="5">
        <v>45678</v>
      </c>
      <c r="B1676" s="6" t="s">
        <v>12</v>
      </c>
      <c r="C1676" s="7">
        <v>13.47</v>
      </c>
      <c r="D1676" s="7">
        <v>9.1999999999999993</v>
      </c>
      <c r="E1676" s="8">
        <v>2875</v>
      </c>
      <c r="F1676" s="8">
        <v>1870</v>
      </c>
      <c r="G1676" s="6">
        <v>5000</v>
      </c>
      <c r="H1676" s="9">
        <f t="shared" si="132"/>
        <v>9745</v>
      </c>
      <c r="I1676" s="9">
        <v>0</v>
      </c>
      <c r="J1676" s="9">
        <v>9745</v>
      </c>
      <c r="K1676" s="9">
        <v>8743</v>
      </c>
    </row>
    <row r="1677" spans="1:11" ht="15.75">
      <c r="A1677" s="5">
        <v>45679</v>
      </c>
      <c r="B1677" s="6" t="s">
        <v>12</v>
      </c>
      <c r="C1677" s="7">
        <v>13.47</v>
      </c>
      <c r="D1677" s="7">
        <v>9.1999999999999993</v>
      </c>
      <c r="E1677" s="8">
        <v>2875</v>
      </c>
      <c r="F1677" s="8">
        <v>1870</v>
      </c>
      <c r="G1677" s="6">
        <v>5000</v>
      </c>
      <c r="H1677" s="9">
        <f t="shared" si="132"/>
        <v>9745</v>
      </c>
      <c r="I1677" s="9">
        <v>0</v>
      </c>
      <c r="J1677" s="9">
        <v>9745</v>
      </c>
      <c r="K1677" s="10">
        <v>9745</v>
      </c>
    </row>
    <row r="1678" spans="1:11" ht="15.75">
      <c r="A1678" s="5">
        <v>45680</v>
      </c>
      <c r="B1678" s="6" t="s">
        <v>12</v>
      </c>
      <c r="C1678" s="7">
        <v>13.47</v>
      </c>
      <c r="D1678" s="7">
        <v>9.1999999999999993</v>
      </c>
      <c r="E1678" s="8">
        <v>2875</v>
      </c>
      <c r="F1678" s="8">
        <v>1870</v>
      </c>
      <c r="G1678" s="6">
        <v>5000</v>
      </c>
      <c r="H1678" s="9">
        <f t="shared" si="132"/>
        <v>9745</v>
      </c>
      <c r="I1678" s="9">
        <v>0</v>
      </c>
      <c r="J1678" s="9">
        <v>9745</v>
      </c>
      <c r="K1678" s="10">
        <v>9745</v>
      </c>
    </row>
    <row r="1679" spans="1:11" ht="15.75">
      <c r="A1679" s="5">
        <v>45681</v>
      </c>
      <c r="B1679" s="6" t="s">
        <v>12</v>
      </c>
      <c r="C1679" s="7">
        <v>13.4</v>
      </c>
      <c r="D1679" s="7">
        <v>8.9499999999999993</v>
      </c>
      <c r="E1679" s="8">
        <v>2875</v>
      </c>
      <c r="F1679" s="8">
        <v>1870</v>
      </c>
      <c r="G1679" s="6">
        <v>5000</v>
      </c>
      <c r="H1679" s="9">
        <f t="shared" si="132"/>
        <v>9745</v>
      </c>
      <c r="I1679" s="9">
        <v>0</v>
      </c>
      <c r="J1679" s="9">
        <v>9745</v>
      </c>
      <c r="K1679" s="9">
        <v>9204</v>
      </c>
    </row>
    <row r="1680" spans="1:11" ht="15.75">
      <c r="A1680" s="5">
        <v>45682</v>
      </c>
      <c r="B1680" s="6" t="s">
        <v>12</v>
      </c>
      <c r="C1680" s="7">
        <v>13.35</v>
      </c>
      <c r="D1680" s="7">
        <v>8.8000000000000007</v>
      </c>
      <c r="E1680" s="8">
        <v>2875</v>
      </c>
      <c r="F1680" s="8">
        <v>1870</v>
      </c>
      <c r="G1680" s="6">
        <v>5000</v>
      </c>
      <c r="H1680" s="9">
        <f t="shared" si="132"/>
        <v>9745</v>
      </c>
      <c r="I1680" s="9">
        <v>0</v>
      </c>
      <c r="J1680" s="9">
        <v>9745</v>
      </c>
      <c r="K1680" s="9">
        <v>9358</v>
      </c>
    </row>
    <row r="1681" spans="1:11" ht="15.75">
      <c r="A1681" s="5">
        <v>45683</v>
      </c>
      <c r="B1681" s="6" t="s">
        <v>12</v>
      </c>
      <c r="C1681" s="7">
        <v>13.32</v>
      </c>
      <c r="D1681" s="7">
        <v>8.6999999999999993</v>
      </c>
      <c r="E1681" s="8">
        <v>3075</v>
      </c>
      <c r="F1681" s="8">
        <v>1870</v>
      </c>
      <c r="G1681" s="6">
        <v>5000</v>
      </c>
      <c r="H1681" s="9">
        <f t="shared" si="132"/>
        <v>9945</v>
      </c>
      <c r="I1681" s="9">
        <v>0</v>
      </c>
      <c r="J1681" s="9">
        <v>9945</v>
      </c>
      <c r="K1681" s="9">
        <v>9717</v>
      </c>
    </row>
    <row r="1682" spans="1:11" ht="15.75">
      <c r="A1682" s="5">
        <v>45684</v>
      </c>
      <c r="B1682" s="6" t="s">
        <v>12</v>
      </c>
      <c r="C1682" s="7">
        <v>13.23</v>
      </c>
      <c r="D1682" s="7">
        <v>8.4</v>
      </c>
      <c r="E1682" s="8">
        <v>3075</v>
      </c>
      <c r="F1682" s="8">
        <v>1870</v>
      </c>
      <c r="G1682" s="6">
        <v>5000</v>
      </c>
      <c r="H1682" s="9">
        <f t="shared" si="132"/>
        <v>9945</v>
      </c>
      <c r="I1682" s="9">
        <v>0</v>
      </c>
      <c r="J1682" s="9">
        <v>9945</v>
      </c>
      <c r="K1682" s="9">
        <v>9262</v>
      </c>
    </row>
    <row r="1683" spans="1:11" ht="15.75">
      <c r="A1683" s="5">
        <v>45685</v>
      </c>
      <c r="B1683" s="6" t="s">
        <v>12</v>
      </c>
      <c r="C1683" s="7">
        <v>13.15</v>
      </c>
      <c r="D1683" s="7">
        <v>8.15</v>
      </c>
      <c r="E1683" s="8">
        <v>2900</v>
      </c>
      <c r="F1683" s="8">
        <v>1755</v>
      </c>
      <c r="G1683" s="6">
        <v>4700</v>
      </c>
      <c r="H1683" s="9">
        <f t="shared" si="132"/>
        <v>9355</v>
      </c>
      <c r="I1683" s="9">
        <v>0</v>
      </c>
      <c r="J1683" s="9">
        <v>9355</v>
      </c>
      <c r="K1683" s="9">
        <v>8747</v>
      </c>
    </row>
    <row r="1684" spans="1:11" ht="15.75">
      <c r="A1684" s="5">
        <v>45686</v>
      </c>
      <c r="B1684" s="6" t="s">
        <v>12</v>
      </c>
      <c r="C1684" s="7">
        <v>13.08</v>
      </c>
      <c r="D1684" s="7">
        <v>7.9</v>
      </c>
      <c r="E1684" s="8">
        <v>2900</v>
      </c>
      <c r="F1684" s="8">
        <v>1755</v>
      </c>
      <c r="G1684" s="6">
        <v>4700</v>
      </c>
      <c r="H1684" s="9">
        <f t="shared" si="132"/>
        <v>9355</v>
      </c>
      <c r="I1684" s="9">
        <v>0</v>
      </c>
      <c r="J1684" s="9">
        <v>9355</v>
      </c>
      <c r="K1684" s="9">
        <v>8824</v>
      </c>
    </row>
    <row r="1685" spans="1:11" ht="15.75">
      <c r="A1685" s="5">
        <v>45687</v>
      </c>
      <c r="B1685" s="6" t="s">
        <v>12</v>
      </c>
      <c r="C1685" s="7">
        <v>13.08</v>
      </c>
      <c r="D1685" s="7">
        <v>7.9</v>
      </c>
      <c r="E1685" s="8">
        <v>2593</v>
      </c>
      <c r="F1685" s="8">
        <v>1686</v>
      </c>
      <c r="G1685" s="6">
        <v>4500</v>
      </c>
      <c r="H1685" s="9">
        <f t="shared" si="132"/>
        <v>8779</v>
      </c>
      <c r="I1685" s="9">
        <v>0</v>
      </c>
      <c r="J1685" s="9">
        <v>8779</v>
      </c>
      <c r="K1685" s="9">
        <v>8779</v>
      </c>
    </row>
    <row r="1686" spans="1:11" ht="15.75">
      <c r="A1686" s="5">
        <v>45688</v>
      </c>
      <c r="B1686" s="6" t="s">
        <v>12</v>
      </c>
      <c r="C1686" s="7">
        <v>13.12</v>
      </c>
      <c r="D1686" s="7">
        <v>8.0500000000000007</v>
      </c>
      <c r="E1686" s="8">
        <v>2472</v>
      </c>
      <c r="F1686" s="8">
        <v>1607</v>
      </c>
      <c r="G1686" s="6">
        <v>4300</v>
      </c>
      <c r="H1686" s="9">
        <f t="shared" si="132"/>
        <v>8379</v>
      </c>
      <c r="I1686" s="9">
        <v>0</v>
      </c>
      <c r="J1686" s="9">
        <v>8379</v>
      </c>
      <c r="K1686" s="9">
        <v>8682</v>
      </c>
    </row>
    <row r="1687" spans="1:11" ht="15.75">
      <c r="A1687" s="2" t="s">
        <v>13</v>
      </c>
      <c r="B1687" s="2"/>
      <c r="C1687" s="2"/>
      <c r="D1687" s="2"/>
      <c r="E1687" s="11">
        <f t="shared" ref="E1687:K1687" si="133">SUM(E1656:E1686)</f>
        <v>102410</v>
      </c>
      <c r="F1687" s="11">
        <f t="shared" si="133"/>
        <v>66113</v>
      </c>
      <c r="G1687" s="11">
        <f t="shared" si="133"/>
        <v>169720</v>
      </c>
      <c r="H1687" s="11">
        <f t="shared" si="133"/>
        <v>338243</v>
      </c>
      <c r="I1687" s="11">
        <f t="shared" si="133"/>
        <v>0</v>
      </c>
      <c r="J1687" s="11">
        <f t="shared" si="133"/>
        <v>338243</v>
      </c>
      <c r="K1687" s="11">
        <f t="shared" si="133"/>
        <v>331555</v>
      </c>
    </row>
    <row r="1688" spans="1:11" ht="15.75">
      <c r="A1688" s="12"/>
      <c r="B1688" s="2"/>
      <c r="C1688" s="2"/>
      <c r="D1688" s="2"/>
      <c r="E1688" s="13">
        <f t="shared" ref="E1688:K1688" si="134">SUM(E1687/11575)</f>
        <v>8.8475161987041044</v>
      </c>
      <c r="F1688" s="13">
        <f t="shared" si="134"/>
        <v>5.71170626349892</v>
      </c>
      <c r="G1688" s="13">
        <f t="shared" si="134"/>
        <v>14.662634989200864</v>
      </c>
      <c r="H1688" s="13">
        <f t="shared" si="134"/>
        <v>29.221857451403888</v>
      </c>
      <c r="I1688" s="13">
        <f t="shared" si="134"/>
        <v>0</v>
      </c>
      <c r="J1688" s="13">
        <f t="shared" si="134"/>
        <v>29.221857451403888</v>
      </c>
      <c r="K1688" s="13">
        <f t="shared" si="134"/>
        <v>28.644060475161986</v>
      </c>
    </row>
    <row r="1689" spans="1:11" ht="15.75">
      <c r="A1689" s="1" t="s">
        <v>69</v>
      </c>
      <c r="B1689" s="1"/>
      <c r="C1689" s="1"/>
      <c r="D1689" s="1"/>
      <c r="E1689" s="1"/>
      <c r="F1689" s="1"/>
      <c r="G1689" s="1"/>
      <c r="H1689" s="1"/>
      <c r="I1689" s="1"/>
      <c r="J1689" s="1"/>
      <c r="K1689" s="1"/>
    </row>
    <row r="1690" spans="1:11" ht="47.25">
      <c r="A1690" s="2" t="s">
        <v>1</v>
      </c>
      <c r="B1690" s="2" t="s">
        <v>2</v>
      </c>
      <c r="C1690" s="3" t="s">
        <v>18</v>
      </c>
      <c r="D1690" s="3" t="s">
        <v>4</v>
      </c>
      <c r="E1690" s="3" t="s">
        <v>5</v>
      </c>
      <c r="F1690" s="3" t="s">
        <v>6</v>
      </c>
      <c r="G1690" s="3" t="s">
        <v>7</v>
      </c>
      <c r="H1690" s="3" t="s">
        <v>8</v>
      </c>
      <c r="I1690" s="3" t="s">
        <v>9</v>
      </c>
      <c r="J1690" s="3" t="s">
        <v>19</v>
      </c>
      <c r="K1690" s="4" t="s">
        <v>11</v>
      </c>
    </row>
    <row r="1691" spans="1:11" ht="15.75">
      <c r="A1691" s="5">
        <v>45689</v>
      </c>
      <c r="B1691" s="6" t="s">
        <v>12</v>
      </c>
      <c r="C1691" s="7">
        <v>13.2</v>
      </c>
      <c r="D1691" s="7">
        <v>8.3000000000000007</v>
      </c>
      <c r="E1691" s="8">
        <v>2300</v>
      </c>
      <c r="F1691" s="6">
        <v>1500</v>
      </c>
      <c r="G1691" s="8">
        <v>4000</v>
      </c>
      <c r="H1691" s="14">
        <f>E1691+F1691+G1691</f>
        <v>7800</v>
      </c>
      <c r="I1691" s="9">
        <v>0</v>
      </c>
      <c r="J1691" s="9">
        <v>7800</v>
      </c>
      <c r="K1691" s="10">
        <v>8408</v>
      </c>
    </row>
    <row r="1692" spans="1:11" ht="15.75">
      <c r="A1692" s="5">
        <v>45690</v>
      </c>
      <c r="B1692" s="6" t="s">
        <v>12</v>
      </c>
      <c r="C1692" s="7">
        <v>13.35</v>
      </c>
      <c r="D1692" s="7">
        <v>8.8000000000000007</v>
      </c>
      <c r="E1692" s="8">
        <v>2300</v>
      </c>
      <c r="F1692" s="6">
        <v>1500</v>
      </c>
      <c r="G1692" s="8">
        <v>4000</v>
      </c>
      <c r="H1692" s="9">
        <f t="shared" ref="H1692:H1718" si="135">E1692+F1692+G1692</f>
        <v>7800</v>
      </c>
      <c r="I1692" s="9">
        <v>0</v>
      </c>
      <c r="J1692" s="9">
        <v>7800</v>
      </c>
      <c r="K1692" s="10">
        <v>8939</v>
      </c>
    </row>
    <row r="1693" spans="1:11" ht="15.75">
      <c r="A1693" s="5">
        <v>45691</v>
      </c>
      <c r="B1693" s="6" t="s">
        <v>12</v>
      </c>
      <c r="C1693" s="7">
        <v>13.44</v>
      </c>
      <c r="D1693" s="7">
        <v>9.1</v>
      </c>
      <c r="E1693" s="8">
        <v>2300</v>
      </c>
      <c r="F1693" s="6">
        <v>1500</v>
      </c>
      <c r="G1693" s="8">
        <v>4000</v>
      </c>
      <c r="H1693" s="9">
        <f t="shared" si="135"/>
        <v>7800</v>
      </c>
      <c r="I1693" s="9">
        <v>0</v>
      </c>
      <c r="J1693" s="9">
        <v>7800</v>
      </c>
      <c r="K1693" s="10">
        <v>8496</v>
      </c>
    </row>
    <row r="1694" spans="1:11" ht="15.75">
      <c r="A1694" s="5">
        <v>45692</v>
      </c>
      <c r="B1694" s="6" t="s">
        <v>12</v>
      </c>
      <c r="C1694" s="7">
        <v>13.53</v>
      </c>
      <c r="D1694" s="7">
        <v>9.4</v>
      </c>
      <c r="E1694" s="8">
        <v>2300</v>
      </c>
      <c r="F1694" s="6">
        <v>1700</v>
      </c>
      <c r="G1694" s="8">
        <v>4000</v>
      </c>
      <c r="H1694" s="9">
        <f t="shared" si="135"/>
        <v>8000</v>
      </c>
      <c r="I1694" s="9">
        <v>0</v>
      </c>
      <c r="J1694" s="9">
        <v>8000</v>
      </c>
      <c r="K1694" s="10">
        <v>8695</v>
      </c>
    </row>
    <row r="1695" spans="1:11" ht="15.75">
      <c r="A1695" s="5">
        <v>45693</v>
      </c>
      <c r="B1695" s="6" t="s">
        <v>12</v>
      </c>
      <c r="C1695" s="7">
        <v>13.6</v>
      </c>
      <c r="D1695" s="7">
        <v>9.6</v>
      </c>
      <c r="E1695" s="8">
        <v>2300</v>
      </c>
      <c r="F1695" s="6">
        <v>1700</v>
      </c>
      <c r="G1695" s="8">
        <v>4000</v>
      </c>
      <c r="H1695" s="9">
        <f t="shared" si="135"/>
        <v>8000</v>
      </c>
      <c r="I1695" s="9">
        <v>0</v>
      </c>
      <c r="J1695" s="9">
        <v>8000</v>
      </c>
      <c r="K1695" s="9">
        <v>8539</v>
      </c>
    </row>
    <row r="1696" spans="1:11" ht="15.75">
      <c r="A1696" s="5">
        <v>45694</v>
      </c>
      <c r="B1696" s="6" t="s">
        <v>12</v>
      </c>
      <c r="C1696" s="7">
        <v>13.63</v>
      </c>
      <c r="D1696" s="7">
        <v>9.6999999999999993</v>
      </c>
      <c r="E1696" s="8">
        <v>2450</v>
      </c>
      <c r="F1696" s="6">
        <v>1700</v>
      </c>
      <c r="G1696" s="8">
        <v>4400</v>
      </c>
      <c r="H1696" s="9">
        <f t="shared" si="135"/>
        <v>8550</v>
      </c>
      <c r="I1696" s="9">
        <v>0</v>
      </c>
      <c r="J1696" s="9">
        <v>8550</v>
      </c>
      <c r="K1696" s="10">
        <v>8782</v>
      </c>
    </row>
    <row r="1697" spans="1:11" ht="15.75">
      <c r="A1697" s="5">
        <v>45695</v>
      </c>
      <c r="B1697" s="6" t="s">
        <v>12</v>
      </c>
      <c r="C1697" s="7">
        <v>13.66</v>
      </c>
      <c r="D1697" s="7">
        <v>9.8000000000000007</v>
      </c>
      <c r="E1697" s="8">
        <v>2450</v>
      </c>
      <c r="F1697" s="6">
        <v>1800</v>
      </c>
      <c r="G1697" s="8">
        <v>4400</v>
      </c>
      <c r="H1697" s="9">
        <f t="shared" si="135"/>
        <v>8650</v>
      </c>
      <c r="I1697" s="9">
        <v>0</v>
      </c>
      <c r="J1697" s="9">
        <v>8650</v>
      </c>
      <c r="K1697" s="10">
        <v>8882</v>
      </c>
    </row>
    <row r="1698" spans="1:11" ht="15.75">
      <c r="A1698" s="5">
        <v>45696</v>
      </c>
      <c r="B1698" s="6" t="s">
        <v>12</v>
      </c>
      <c r="C1698" s="7">
        <v>13.69</v>
      </c>
      <c r="D1698" s="7">
        <v>9.9</v>
      </c>
      <c r="E1698" s="8">
        <v>2450</v>
      </c>
      <c r="F1698" s="6">
        <v>1800</v>
      </c>
      <c r="G1698" s="8">
        <v>4400</v>
      </c>
      <c r="H1698" s="9">
        <f t="shared" si="135"/>
        <v>8650</v>
      </c>
      <c r="I1698" s="9">
        <v>0</v>
      </c>
      <c r="J1698" s="9">
        <v>8650</v>
      </c>
      <c r="K1698" s="10">
        <v>8882</v>
      </c>
    </row>
    <row r="1699" spans="1:11" ht="15.75">
      <c r="A1699" s="5">
        <v>45697</v>
      </c>
      <c r="B1699" s="6" t="s">
        <v>12</v>
      </c>
      <c r="C1699" s="7">
        <v>13.7</v>
      </c>
      <c r="D1699" s="7">
        <v>9.9499999999999993</v>
      </c>
      <c r="E1699" s="8">
        <v>2650</v>
      </c>
      <c r="F1699" s="6">
        <v>1800</v>
      </c>
      <c r="G1699" s="8">
        <v>4400</v>
      </c>
      <c r="H1699" s="9">
        <f t="shared" si="135"/>
        <v>8850</v>
      </c>
      <c r="I1699" s="9">
        <v>0</v>
      </c>
      <c r="J1699" s="9">
        <v>8850</v>
      </c>
      <c r="K1699" s="10">
        <v>8928</v>
      </c>
    </row>
    <row r="1700" spans="1:11" ht="15.75">
      <c r="A1700" s="5">
        <v>45698</v>
      </c>
      <c r="B1700" s="6" t="s">
        <v>12</v>
      </c>
      <c r="C1700" s="7">
        <v>13.7</v>
      </c>
      <c r="D1700" s="7">
        <v>9.9499999999999993</v>
      </c>
      <c r="E1700" s="8">
        <v>2650</v>
      </c>
      <c r="F1700" s="6">
        <v>1800</v>
      </c>
      <c r="G1700" s="8">
        <v>4400</v>
      </c>
      <c r="H1700" s="9">
        <f t="shared" si="135"/>
        <v>8850</v>
      </c>
      <c r="I1700" s="9">
        <v>0</v>
      </c>
      <c r="J1700" s="10">
        <v>8850</v>
      </c>
      <c r="K1700" s="16">
        <v>8850</v>
      </c>
    </row>
    <row r="1701" spans="1:11" ht="15.75">
      <c r="A1701" s="5">
        <v>45699</v>
      </c>
      <c r="B1701" s="6" t="s">
        <v>12</v>
      </c>
      <c r="C1701" s="7">
        <v>13.7</v>
      </c>
      <c r="D1701" s="7">
        <v>9.9499999999999993</v>
      </c>
      <c r="E1701" s="8">
        <v>2650</v>
      </c>
      <c r="F1701" s="6">
        <v>1800</v>
      </c>
      <c r="G1701" s="8">
        <v>4400</v>
      </c>
      <c r="H1701" s="9">
        <f t="shared" si="135"/>
        <v>8850</v>
      </c>
      <c r="I1701" s="9">
        <v>0</v>
      </c>
      <c r="J1701" s="9">
        <v>8850</v>
      </c>
      <c r="K1701" s="10">
        <v>8850</v>
      </c>
    </row>
    <row r="1702" spans="1:11" ht="15.75">
      <c r="A1702" s="5">
        <v>45700</v>
      </c>
      <c r="B1702" s="6" t="s">
        <v>12</v>
      </c>
      <c r="C1702" s="7">
        <v>13.63</v>
      </c>
      <c r="D1702" s="7">
        <v>9.6999999999999993</v>
      </c>
      <c r="E1702" s="8">
        <v>2650</v>
      </c>
      <c r="F1702" s="6">
        <v>1800</v>
      </c>
      <c r="G1702" s="8">
        <v>4400</v>
      </c>
      <c r="H1702" s="9">
        <f t="shared" si="135"/>
        <v>8850</v>
      </c>
      <c r="I1702" s="9">
        <v>0</v>
      </c>
      <c r="J1702" s="9">
        <v>8850</v>
      </c>
      <c r="K1702" s="9">
        <v>8309</v>
      </c>
    </row>
    <row r="1703" spans="1:11" ht="15.75">
      <c r="A1703" s="5">
        <v>45701</v>
      </c>
      <c r="B1703" s="6" t="s">
        <v>12</v>
      </c>
      <c r="C1703" s="7">
        <v>13.6</v>
      </c>
      <c r="D1703" s="7">
        <v>9.6</v>
      </c>
      <c r="E1703" s="8">
        <v>2650</v>
      </c>
      <c r="F1703" s="6">
        <v>1800</v>
      </c>
      <c r="G1703" s="8">
        <v>4400</v>
      </c>
      <c r="H1703" s="9">
        <f t="shared" si="135"/>
        <v>8850</v>
      </c>
      <c r="I1703" s="9">
        <v>0</v>
      </c>
      <c r="J1703" s="9">
        <v>8850</v>
      </c>
      <c r="K1703" s="9">
        <v>8618</v>
      </c>
    </row>
    <row r="1704" spans="1:11" ht="15.75">
      <c r="A1704" s="5">
        <v>45702</v>
      </c>
      <c r="B1704" s="6" t="s">
        <v>12</v>
      </c>
      <c r="C1704" s="7">
        <v>13.55</v>
      </c>
      <c r="D1704" s="7">
        <v>9.4499999999999993</v>
      </c>
      <c r="E1704" s="8">
        <v>2650</v>
      </c>
      <c r="F1704" s="6">
        <v>1800</v>
      </c>
      <c r="G1704" s="8">
        <v>4400</v>
      </c>
      <c r="H1704" s="9">
        <f t="shared" si="135"/>
        <v>8850</v>
      </c>
      <c r="I1704" s="9">
        <v>0</v>
      </c>
      <c r="J1704" s="9">
        <v>8850</v>
      </c>
      <c r="K1704" s="9">
        <v>8465</v>
      </c>
    </row>
    <row r="1705" spans="1:11" ht="15.75">
      <c r="A1705" s="5">
        <v>45703</v>
      </c>
      <c r="B1705" s="6" t="s">
        <v>12</v>
      </c>
      <c r="C1705" s="7">
        <v>13.55</v>
      </c>
      <c r="D1705" s="7">
        <v>9.4499999999999993</v>
      </c>
      <c r="E1705" s="8">
        <v>2600</v>
      </c>
      <c r="F1705" s="6">
        <v>1600</v>
      </c>
      <c r="G1705" s="6">
        <v>4300</v>
      </c>
      <c r="H1705" s="9">
        <f t="shared" si="135"/>
        <v>8500</v>
      </c>
      <c r="I1705" s="9">
        <v>0</v>
      </c>
      <c r="J1705" s="9">
        <v>8500</v>
      </c>
      <c r="K1705" s="9">
        <v>8500</v>
      </c>
    </row>
    <row r="1706" spans="1:11" ht="15.75">
      <c r="A1706" s="5">
        <v>45704</v>
      </c>
      <c r="B1706" s="6" t="s">
        <v>12</v>
      </c>
      <c r="C1706" s="7">
        <v>13.57</v>
      </c>
      <c r="D1706" s="7">
        <v>9.5</v>
      </c>
      <c r="E1706" s="8">
        <v>2600</v>
      </c>
      <c r="F1706" s="6">
        <v>1600</v>
      </c>
      <c r="G1706" s="6">
        <v>4300</v>
      </c>
      <c r="H1706" s="9">
        <f t="shared" si="135"/>
        <v>8500</v>
      </c>
      <c r="I1706" s="9">
        <v>0</v>
      </c>
      <c r="J1706" s="9">
        <v>8500</v>
      </c>
      <c r="K1706" s="9">
        <v>8654</v>
      </c>
    </row>
    <row r="1707" spans="1:11" ht="15.75">
      <c r="A1707" s="5">
        <v>45705</v>
      </c>
      <c r="B1707" s="6" t="s">
        <v>12</v>
      </c>
      <c r="C1707" s="7">
        <v>13.6</v>
      </c>
      <c r="D1707" s="7">
        <v>9.6</v>
      </c>
      <c r="E1707" s="8">
        <v>2600</v>
      </c>
      <c r="F1707" s="6">
        <v>1600</v>
      </c>
      <c r="G1707" s="6">
        <v>4300</v>
      </c>
      <c r="H1707" s="9">
        <f t="shared" si="135"/>
        <v>8500</v>
      </c>
      <c r="I1707" s="9">
        <v>0</v>
      </c>
      <c r="J1707" s="9">
        <v>8500</v>
      </c>
      <c r="K1707" s="10">
        <v>8732</v>
      </c>
    </row>
    <row r="1708" spans="1:11" ht="15.75">
      <c r="A1708" s="5">
        <v>45706</v>
      </c>
      <c r="B1708" s="6" t="s">
        <v>12</v>
      </c>
      <c r="C1708" s="7">
        <v>13.6</v>
      </c>
      <c r="D1708" s="7">
        <v>9.6</v>
      </c>
      <c r="E1708" s="8">
        <v>2600</v>
      </c>
      <c r="F1708" s="6">
        <v>1700</v>
      </c>
      <c r="G1708" s="6">
        <v>4300</v>
      </c>
      <c r="H1708" s="9">
        <f t="shared" si="135"/>
        <v>8600</v>
      </c>
      <c r="I1708" s="9">
        <v>0</v>
      </c>
      <c r="J1708" s="9">
        <v>8600</v>
      </c>
      <c r="K1708" s="10">
        <v>8600</v>
      </c>
    </row>
    <row r="1709" spans="1:11" ht="15.75">
      <c r="A1709" s="5">
        <v>45707</v>
      </c>
      <c r="B1709" s="6" t="s">
        <v>12</v>
      </c>
      <c r="C1709" s="7">
        <v>13.61</v>
      </c>
      <c r="D1709" s="7">
        <v>9.65</v>
      </c>
      <c r="E1709" s="8">
        <v>2600</v>
      </c>
      <c r="F1709" s="6">
        <v>1700</v>
      </c>
      <c r="G1709" s="6">
        <v>4400</v>
      </c>
      <c r="H1709" s="9">
        <f t="shared" si="135"/>
        <v>8700</v>
      </c>
      <c r="I1709" s="9">
        <v>0</v>
      </c>
      <c r="J1709" s="9">
        <v>8700</v>
      </c>
      <c r="K1709" s="9">
        <v>8778</v>
      </c>
    </row>
    <row r="1710" spans="1:11" ht="15.75">
      <c r="A1710" s="5">
        <v>45708</v>
      </c>
      <c r="B1710" s="6" t="s">
        <v>12</v>
      </c>
      <c r="C1710" s="7">
        <v>13.61</v>
      </c>
      <c r="D1710" s="7">
        <v>9.65</v>
      </c>
      <c r="E1710" s="8">
        <v>2600</v>
      </c>
      <c r="F1710" s="6">
        <v>1700</v>
      </c>
      <c r="G1710" s="6">
        <v>4400</v>
      </c>
      <c r="H1710" s="9">
        <f t="shared" si="135"/>
        <v>8700</v>
      </c>
      <c r="I1710" s="9">
        <v>0</v>
      </c>
      <c r="J1710" s="9">
        <v>8700</v>
      </c>
      <c r="K1710" s="9">
        <v>8700</v>
      </c>
    </row>
    <row r="1711" spans="1:11" ht="15.75">
      <c r="A1711" s="5">
        <v>45709</v>
      </c>
      <c r="B1711" s="6" t="s">
        <v>12</v>
      </c>
      <c r="C1711" s="7">
        <v>13.61</v>
      </c>
      <c r="D1711" s="7">
        <v>9.65</v>
      </c>
      <c r="E1711" s="8">
        <v>2600</v>
      </c>
      <c r="F1711" s="6">
        <v>1700</v>
      </c>
      <c r="G1711" s="6">
        <v>4400</v>
      </c>
      <c r="H1711" s="9">
        <f t="shared" si="135"/>
        <v>8700</v>
      </c>
      <c r="I1711" s="9">
        <v>0</v>
      </c>
      <c r="J1711" s="9">
        <v>8700</v>
      </c>
      <c r="K1711" s="10">
        <v>8700</v>
      </c>
    </row>
    <row r="1712" spans="1:11" ht="15.75">
      <c r="A1712" s="5">
        <v>45710</v>
      </c>
      <c r="B1712" s="6" t="s">
        <v>12</v>
      </c>
      <c r="C1712" s="7">
        <v>13.61</v>
      </c>
      <c r="D1712" s="7">
        <v>9.65</v>
      </c>
      <c r="E1712" s="8">
        <v>2600</v>
      </c>
      <c r="F1712" s="6">
        <v>1700</v>
      </c>
      <c r="G1712" s="6">
        <v>4400</v>
      </c>
      <c r="H1712" s="9">
        <f t="shared" si="135"/>
        <v>8700</v>
      </c>
      <c r="I1712" s="9">
        <v>0</v>
      </c>
      <c r="J1712" s="9">
        <v>8700</v>
      </c>
      <c r="K1712" s="9">
        <v>8700</v>
      </c>
    </row>
    <row r="1713" spans="1:11" ht="15.75">
      <c r="A1713" s="5">
        <v>45711</v>
      </c>
      <c r="B1713" s="6" t="s">
        <v>12</v>
      </c>
      <c r="C1713" s="7">
        <v>13.57</v>
      </c>
      <c r="D1713" s="7">
        <v>9.5</v>
      </c>
      <c r="E1713" s="8">
        <v>2600</v>
      </c>
      <c r="F1713" s="6">
        <v>1700</v>
      </c>
      <c r="G1713" s="6">
        <v>4400</v>
      </c>
      <c r="H1713" s="9">
        <f t="shared" si="135"/>
        <v>8700</v>
      </c>
      <c r="I1713" s="9">
        <v>0</v>
      </c>
      <c r="J1713" s="9">
        <v>8700</v>
      </c>
      <c r="K1713" s="9">
        <v>8391</v>
      </c>
    </row>
    <row r="1714" spans="1:11" ht="15.75">
      <c r="A1714" s="5">
        <v>45712</v>
      </c>
      <c r="B1714" s="6" t="s">
        <v>12</v>
      </c>
      <c r="C1714" s="7">
        <v>13.53</v>
      </c>
      <c r="D1714" s="7">
        <v>9.4</v>
      </c>
      <c r="E1714" s="8">
        <v>2600</v>
      </c>
      <c r="F1714" s="6">
        <v>1700</v>
      </c>
      <c r="G1714" s="6">
        <v>4400</v>
      </c>
      <c r="H1714" s="9">
        <f t="shared" si="135"/>
        <v>8700</v>
      </c>
      <c r="I1714" s="9">
        <v>0</v>
      </c>
      <c r="J1714" s="9">
        <v>8700</v>
      </c>
      <c r="K1714" s="10">
        <v>8392</v>
      </c>
    </row>
    <row r="1715" spans="1:11" ht="15.75">
      <c r="A1715" s="5">
        <v>45713</v>
      </c>
      <c r="B1715" s="6" t="s">
        <v>12</v>
      </c>
      <c r="C1715" s="7">
        <v>13.49</v>
      </c>
      <c r="D1715" s="7">
        <v>9.25</v>
      </c>
      <c r="E1715" s="8">
        <v>2400</v>
      </c>
      <c r="F1715" s="6">
        <v>1600</v>
      </c>
      <c r="G1715" s="6">
        <v>4200</v>
      </c>
      <c r="H1715" s="9">
        <f t="shared" si="135"/>
        <v>8200</v>
      </c>
      <c r="I1715" s="9">
        <v>0</v>
      </c>
      <c r="J1715" s="9">
        <v>8200</v>
      </c>
      <c r="K1715" s="10">
        <v>7891</v>
      </c>
    </row>
    <row r="1716" spans="1:11" ht="15.75">
      <c r="A1716" s="5">
        <v>45714</v>
      </c>
      <c r="B1716" s="6" t="s">
        <v>12</v>
      </c>
      <c r="C1716" s="7">
        <v>13.47</v>
      </c>
      <c r="D1716" s="7">
        <v>9.1999999999999993</v>
      </c>
      <c r="E1716" s="8">
        <v>2400</v>
      </c>
      <c r="F1716" s="6">
        <v>1600</v>
      </c>
      <c r="G1716" s="6">
        <v>4200</v>
      </c>
      <c r="H1716" s="9">
        <f t="shared" si="135"/>
        <v>8200</v>
      </c>
      <c r="I1716" s="9">
        <v>0</v>
      </c>
      <c r="J1716" s="9">
        <v>8200</v>
      </c>
      <c r="K1716" s="10">
        <v>8046</v>
      </c>
    </row>
    <row r="1717" spans="1:11" ht="15.75">
      <c r="A1717" s="5">
        <v>45715</v>
      </c>
      <c r="B1717" s="6" t="s">
        <v>12</v>
      </c>
      <c r="C1717" s="7">
        <v>13.44</v>
      </c>
      <c r="D1717" s="7">
        <v>9.1</v>
      </c>
      <c r="E1717" s="8">
        <v>2400</v>
      </c>
      <c r="F1717" s="6">
        <v>1600</v>
      </c>
      <c r="G1717" s="6">
        <v>4200</v>
      </c>
      <c r="H1717" s="9">
        <f t="shared" si="135"/>
        <v>8200</v>
      </c>
      <c r="I1717" s="9">
        <v>0</v>
      </c>
      <c r="J1717" s="9">
        <v>8200</v>
      </c>
      <c r="K1717" s="9">
        <v>7968</v>
      </c>
    </row>
    <row r="1718" spans="1:11" ht="15.75">
      <c r="A1718" s="5">
        <v>45716</v>
      </c>
      <c r="B1718" s="6" t="s">
        <v>12</v>
      </c>
      <c r="C1718" s="7">
        <v>13.41</v>
      </c>
      <c r="D1718" s="7">
        <v>9</v>
      </c>
      <c r="E1718" s="8">
        <v>2520</v>
      </c>
      <c r="F1718" s="6">
        <v>1640</v>
      </c>
      <c r="G1718" s="6">
        <v>4400</v>
      </c>
      <c r="H1718" s="9">
        <f t="shared" si="135"/>
        <v>8560</v>
      </c>
      <c r="I1718" s="9">
        <v>0</v>
      </c>
      <c r="J1718" s="9">
        <v>8560</v>
      </c>
      <c r="K1718" s="9">
        <v>8328</v>
      </c>
    </row>
    <row r="1719" spans="1:11" ht="15.75">
      <c r="A1719" s="2" t="s">
        <v>13</v>
      </c>
      <c r="B1719" s="2"/>
      <c r="C1719" s="2"/>
      <c r="D1719" s="2"/>
      <c r="E1719" s="11">
        <f t="shared" ref="E1719:K1719" si="136">SUM(E1691:E1718)</f>
        <v>70470</v>
      </c>
      <c r="F1719" s="11">
        <f t="shared" si="136"/>
        <v>47140</v>
      </c>
      <c r="G1719" s="11">
        <f t="shared" si="136"/>
        <v>120200</v>
      </c>
      <c r="H1719" s="11">
        <f t="shared" si="136"/>
        <v>237810</v>
      </c>
      <c r="I1719" s="11">
        <f t="shared" si="136"/>
        <v>0</v>
      </c>
      <c r="J1719" s="11">
        <f t="shared" si="136"/>
        <v>237810</v>
      </c>
      <c r="K1719" s="11">
        <f t="shared" si="136"/>
        <v>240023</v>
      </c>
    </row>
    <row r="1720" spans="1:11" ht="15.75">
      <c r="A1720" s="12"/>
      <c r="B1720" s="2"/>
      <c r="C1720" s="2"/>
      <c r="D1720" s="2"/>
      <c r="E1720" s="13">
        <f t="shared" ref="E1720:K1720" si="137">SUM(E1719/11575)</f>
        <v>6.0881209503239742</v>
      </c>
      <c r="F1720" s="13">
        <f t="shared" si="137"/>
        <v>4.0725701943844497</v>
      </c>
      <c r="G1720" s="13">
        <f t="shared" si="137"/>
        <v>10.384449244060475</v>
      </c>
      <c r="H1720" s="13">
        <f t="shared" si="137"/>
        <v>20.5451403887689</v>
      </c>
      <c r="I1720" s="13">
        <f t="shared" si="137"/>
        <v>0</v>
      </c>
      <c r="J1720" s="13">
        <f t="shared" si="137"/>
        <v>20.5451403887689</v>
      </c>
      <c r="K1720" s="13">
        <f t="shared" si="137"/>
        <v>20.736328293736502</v>
      </c>
    </row>
    <row r="1721" spans="1:11" ht="15.75">
      <c r="A1721" s="1" t="s">
        <v>70</v>
      </c>
      <c r="B1721" s="1"/>
      <c r="C1721" s="1"/>
      <c r="D1721" s="1"/>
      <c r="E1721" s="1"/>
      <c r="F1721" s="1"/>
      <c r="G1721" s="1"/>
      <c r="H1721" s="1"/>
      <c r="I1721" s="1"/>
      <c r="J1721" s="1"/>
      <c r="K1721" s="1"/>
    </row>
    <row r="1722" spans="1:11" ht="47.25">
      <c r="A1722" s="2" t="s">
        <v>1</v>
      </c>
      <c r="B1722" s="2" t="s">
        <v>2</v>
      </c>
      <c r="C1722" s="3" t="s">
        <v>18</v>
      </c>
      <c r="D1722" s="3" t="s">
        <v>4</v>
      </c>
      <c r="E1722" s="3" t="s">
        <v>5</v>
      </c>
      <c r="F1722" s="3" t="s">
        <v>6</v>
      </c>
      <c r="G1722" s="3" t="s">
        <v>7</v>
      </c>
      <c r="H1722" s="3" t="s">
        <v>8</v>
      </c>
      <c r="I1722" s="3" t="s">
        <v>9</v>
      </c>
      <c r="J1722" s="3" t="s">
        <v>19</v>
      </c>
      <c r="K1722" s="4" t="s">
        <v>11</v>
      </c>
    </row>
    <row r="1723" spans="1:11" ht="15.75">
      <c r="A1723" s="5">
        <v>45717</v>
      </c>
      <c r="B1723" s="6" t="s">
        <v>12</v>
      </c>
      <c r="C1723" s="7">
        <v>13.46</v>
      </c>
      <c r="D1723" s="7">
        <v>9.15</v>
      </c>
      <c r="E1723" s="8">
        <v>2650</v>
      </c>
      <c r="F1723" s="8">
        <v>1720</v>
      </c>
      <c r="G1723" s="6">
        <v>4600</v>
      </c>
      <c r="H1723" s="14">
        <f>E1723+F1723+G1723</f>
        <v>8970</v>
      </c>
      <c r="I1723" s="9">
        <v>0</v>
      </c>
      <c r="J1723" s="9">
        <v>8970</v>
      </c>
      <c r="K1723" s="9">
        <v>9355</v>
      </c>
    </row>
    <row r="1724" spans="1:11" ht="15.75">
      <c r="A1724" s="5">
        <v>45718</v>
      </c>
      <c r="B1724" s="6" t="s">
        <v>12</v>
      </c>
      <c r="C1724" s="7">
        <v>13.57</v>
      </c>
      <c r="D1724" s="7">
        <v>9.5</v>
      </c>
      <c r="E1724" s="8">
        <v>2650</v>
      </c>
      <c r="F1724" s="8">
        <v>1720</v>
      </c>
      <c r="G1724" s="6">
        <v>4600</v>
      </c>
      <c r="H1724" s="9">
        <f t="shared" ref="H1724:H1753" si="138">E1724+F1724+G1724</f>
        <v>8970</v>
      </c>
      <c r="I1724" s="9">
        <v>0</v>
      </c>
      <c r="J1724" s="9">
        <v>8970</v>
      </c>
      <c r="K1724" s="9">
        <v>9818</v>
      </c>
    </row>
    <row r="1725" spans="1:11" ht="15.75">
      <c r="A1725" s="5">
        <v>45719</v>
      </c>
      <c r="B1725" s="6" t="s">
        <v>12</v>
      </c>
      <c r="C1725" s="7">
        <v>13.64</v>
      </c>
      <c r="D1725" s="7">
        <v>9.75</v>
      </c>
      <c r="E1725" s="8">
        <v>2650</v>
      </c>
      <c r="F1725" s="8">
        <v>1720</v>
      </c>
      <c r="G1725" s="8">
        <v>4600</v>
      </c>
      <c r="H1725" s="9">
        <f t="shared" si="138"/>
        <v>8970</v>
      </c>
      <c r="I1725" s="9">
        <v>0</v>
      </c>
      <c r="J1725" s="9">
        <v>8970</v>
      </c>
      <c r="K1725" s="10">
        <v>9511</v>
      </c>
    </row>
    <row r="1726" spans="1:11" ht="15.75">
      <c r="A1726" s="5">
        <v>45720</v>
      </c>
      <c r="B1726" s="6" t="s">
        <v>12</v>
      </c>
      <c r="C1726" s="7">
        <v>13.67</v>
      </c>
      <c r="D1726" s="7">
        <v>9.85</v>
      </c>
      <c r="E1726" s="8">
        <v>2850</v>
      </c>
      <c r="F1726" s="8">
        <v>1800</v>
      </c>
      <c r="G1726" s="8">
        <v>4800</v>
      </c>
      <c r="H1726" s="9">
        <f t="shared" si="138"/>
        <v>9450</v>
      </c>
      <c r="I1726" s="9">
        <v>0</v>
      </c>
      <c r="J1726" s="9">
        <v>9450</v>
      </c>
      <c r="K1726" s="10">
        <v>9682</v>
      </c>
    </row>
    <row r="1727" spans="1:11" ht="15.75">
      <c r="A1727" s="5">
        <v>45721</v>
      </c>
      <c r="B1727" s="6" t="s">
        <v>12</v>
      </c>
      <c r="C1727" s="7">
        <v>13.66</v>
      </c>
      <c r="D1727" s="7">
        <v>9.8000000000000007</v>
      </c>
      <c r="E1727" s="8">
        <v>2850</v>
      </c>
      <c r="F1727" s="8">
        <v>1800</v>
      </c>
      <c r="G1727" s="8">
        <v>4800</v>
      </c>
      <c r="H1727" s="9">
        <f t="shared" si="138"/>
        <v>9450</v>
      </c>
      <c r="I1727" s="9">
        <v>0</v>
      </c>
      <c r="J1727" s="9">
        <v>9450</v>
      </c>
      <c r="K1727" s="10">
        <v>9372</v>
      </c>
    </row>
    <row r="1728" spans="1:11" ht="15.75">
      <c r="A1728" s="5">
        <v>45722</v>
      </c>
      <c r="B1728" s="6" t="s">
        <v>12</v>
      </c>
      <c r="C1728" s="7">
        <v>13.64</v>
      </c>
      <c r="D1728" s="7">
        <v>9.75</v>
      </c>
      <c r="E1728" s="8">
        <v>2850</v>
      </c>
      <c r="F1728" s="8">
        <v>1800</v>
      </c>
      <c r="G1728" s="8">
        <v>5000</v>
      </c>
      <c r="H1728" s="9">
        <f t="shared" si="138"/>
        <v>9650</v>
      </c>
      <c r="I1728" s="9">
        <v>0</v>
      </c>
      <c r="J1728" s="9">
        <v>9650</v>
      </c>
      <c r="K1728" s="10">
        <v>9496</v>
      </c>
    </row>
    <row r="1729" spans="1:11" ht="15.75">
      <c r="A1729" s="5">
        <v>45723</v>
      </c>
      <c r="B1729" s="6" t="s">
        <v>12</v>
      </c>
      <c r="C1729" s="7">
        <v>13.63</v>
      </c>
      <c r="D1729" s="7">
        <v>9.6999999999999993</v>
      </c>
      <c r="E1729" s="8">
        <v>2850</v>
      </c>
      <c r="F1729" s="8">
        <v>1800</v>
      </c>
      <c r="G1729" s="8">
        <v>5000</v>
      </c>
      <c r="H1729" s="9">
        <f t="shared" si="138"/>
        <v>9650</v>
      </c>
      <c r="I1729" s="9">
        <v>0</v>
      </c>
      <c r="J1729" s="9">
        <v>9650</v>
      </c>
      <c r="K1729" s="10">
        <v>9572</v>
      </c>
    </row>
    <row r="1730" spans="1:11" ht="15.75">
      <c r="A1730" s="5">
        <v>45724</v>
      </c>
      <c r="B1730" s="6" t="s">
        <v>12</v>
      </c>
      <c r="C1730" s="7">
        <v>13.61</v>
      </c>
      <c r="D1730" s="7">
        <v>9.65</v>
      </c>
      <c r="E1730" s="8">
        <v>2850</v>
      </c>
      <c r="F1730" s="8">
        <v>1800</v>
      </c>
      <c r="G1730" s="8">
        <v>5000</v>
      </c>
      <c r="H1730" s="9">
        <f t="shared" si="138"/>
        <v>9650</v>
      </c>
      <c r="I1730" s="9">
        <v>0</v>
      </c>
      <c r="J1730" s="9">
        <v>9650</v>
      </c>
      <c r="K1730" s="10">
        <v>9496</v>
      </c>
    </row>
    <row r="1731" spans="1:11" ht="15.75">
      <c r="A1731" s="5">
        <v>45725</v>
      </c>
      <c r="B1731" s="6" t="s">
        <v>12</v>
      </c>
      <c r="C1731" s="7">
        <v>13.6</v>
      </c>
      <c r="D1731" s="7">
        <v>9.6</v>
      </c>
      <c r="E1731" s="8">
        <v>2850</v>
      </c>
      <c r="F1731" s="8">
        <v>1800</v>
      </c>
      <c r="G1731" s="8">
        <v>5000</v>
      </c>
      <c r="H1731" s="9">
        <f t="shared" si="138"/>
        <v>9650</v>
      </c>
      <c r="I1731" s="9">
        <v>0</v>
      </c>
      <c r="J1731" s="9">
        <v>9650</v>
      </c>
      <c r="K1731" s="10">
        <v>9572</v>
      </c>
    </row>
    <row r="1732" spans="1:11" ht="15.75">
      <c r="A1732" s="5">
        <v>45726</v>
      </c>
      <c r="B1732" s="6" t="s">
        <v>12</v>
      </c>
      <c r="C1732" s="7">
        <v>13.57</v>
      </c>
      <c r="D1732" s="7">
        <v>9.5</v>
      </c>
      <c r="E1732" s="8">
        <v>2850</v>
      </c>
      <c r="F1732" s="8">
        <v>1800</v>
      </c>
      <c r="G1732" s="8">
        <v>5000</v>
      </c>
      <c r="H1732" s="9">
        <f t="shared" si="138"/>
        <v>9650</v>
      </c>
      <c r="I1732" s="9">
        <v>0</v>
      </c>
      <c r="J1732" s="9">
        <v>9650</v>
      </c>
      <c r="K1732" s="9">
        <v>9418</v>
      </c>
    </row>
    <row r="1733" spans="1:11" ht="15.75">
      <c r="A1733" s="5">
        <v>45727</v>
      </c>
      <c r="B1733" s="6" t="s">
        <v>12</v>
      </c>
      <c r="C1733" s="7">
        <v>13.63</v>
      </c>
      <c r="D1733" s="7">
        <v>9.6999999999999993</v>
      </c>
      <c r="E1733" s="8">
        <v>2850</v>
      </c>
      <c r="F1733" s="6">
        <v>1800</v>
      </c>
      <c r="G1733" s="8">
        <v>5000</v>
      </c>
      <c r="H1733" s="9">
        <f t="shared" si="138"/>
        <v>9650</v>
      </c>
      <c r="I1733" s="9">
        <v>0</v>
      </c>
      <c r="J1733" s="9">
        <v>9650</v>
      </c>
      <c r="K1733" s="10">
        <v>10113</v>
      </c>
    </row>
    <row r="1734" spans="1:11" ht="15.75">
      <c r="A1734" s="5">
        <v>45728</v>
      </c>
      <c r="B1734" s="6" t="s">
        <v>12</v>
      </c>
      <c r="C1734" s="7">
        <v>13.7</v>
      </c>
      <c r="D1734" s="7">
        <v>9.9499999999999993</v>
      </c>
      <c r="E1734" s="8">
        <v>2950</v>
      </c>
      <c r="F1734" s="6">
        <v>1900</v>
      </c>
      <c r="G1734" s="8">
        <v>5000</v>
      </c>
      <c r="H1734" s="9">
        <f t="shared" si="138"/>
        <v>9850</v>
      </c>
      <c r="I1734" s="9">
        <v>0</v>
      </c>
      <c r="J1734" s="9">
        <v>9850</v>
      </c>
      <c r="K1734" s="10">
        <v>10391</v>
      </c>
    </row>
    <row r="1735" spans="1:11" ht="15.75">
      <c r="A1735" s="5">
        <v>45729</v>
      </c>
      <c r="B1735" s="6" t="s">
        <v>12</v>
      </c>
      <c r="C1735" s="7">
        <v>13.75</v>
      </c>
      <c r="D1735" s="7">
        <v>10.1</v>
      </c>
      <c r="E1735" s="8">
        <v>2950</v>
      </c>
      <c r="F1735" s="6">
        <v>1900</v>
      </c>
      <c r="G1735" s="8">
        <v>5000</v>
      </c>
      <c r="H1735" s="9">
        <f t="shared" si="138"/>
        <v>9850</v>
      </c>
      <c r="I1735" s="9">
        <v>0</v>
      </c>
      <c r="J1735" s="9">
        <v>9850</v>
      </c>
      <c r="K1735" s="10">
        <v>10235</v>
      </c>
    </row>
    <row r="1736" spans="1:11" ht="15.75">
      <c r="A1736" s="5">
        <v>45730</v>
      </c>
      <c r="B1736" s="6" t="s">
        <v>12</v>
      </c>
      <c r="C1736" s="7">
        <v>13.78</v>
      </c>
      <c r="D1736" s="7">
        <v>10.199999999999999</v>
      </c>
      <c r="E1736" s="8">
        <v>2950</v>
      </c>
      <c r="F1736" s="6">
        <v>1900</v>
      </c>
      <c r="G1736" s="8">
        <v>5000</v>
      </c>
      <c r="H1736" s="9">
        <f t="shared" si="138"/>
        <v>9850</v>
      </c>
      <c r="I1736" s="9">
        <v>0</v>
      </c>
      <c r="J1736" s="9">
        <v>9850</v>
      </c>
      <c r="K1736" s="10">
        <v>10082</v>
      </c>
    </row>
    <row r="1737" spans="1:11" ht="15.75">
      <c r="A1737" s="5">
        <v>45731</v>
      </c>
      <c r="B1737" s="6" t="s">
        <v>12</v>
      </c>
      <c r="C1737" s="7">
        <v>13.79</v>
      </c>
      <c r="D1737" s="7">
        <v>10.25</v>
      </c>
      <c r="E1737" s="8">
        <v>3050</v>
      </c>
      <c r="F1737" s="6">
        <v>2000</v>
      </c>
      <c r="G1737" s="8">
        <v>5200</v>
      </c>
      <c r="H1737" s="9">
        <f t="shared" si="138"/>
        <v>10250</v>
      </c>
      <c r="I1737" s="9">
        <v>0</v>
      </c>
      <c r="J1737" s="9">
        <v>10250</v>
      </c>
      <c r="K1737" s="10">
        <v>10328</v>
      </c>
    </row>
    <row r="1738" spans="1:11" ht="15.75">
      <c r="A1738" s="5">
        <v>45732</v>
      </c>
      <c r="B1738" s="6" t="s">
        <v>12</v>
      </c>
      <c r="C1738" s="7">
        <v>13.79</v>
      </c>
      <c r="D1738" s="7">
        <v>10.25</v>
      </c>
      <c r="E1738" s="8">
        <v>3050</v>
      </c>
      <c r="F1738" s="6">
        <v>2000</v>
      </c>
      <c r="G1738" s="8">
        <v>5500</v>
      </c>
      <c r="H1738" s="9">
        <f t="shared" si="138"/>
        <v>10550</v>
      </c>
      <c r="I1738" s="9">
        <v>0</v>
      </c>
      <c r="J1738" s="9">
        <v>10550</v>
      </c>
      <c r="K1738" s="10">
        <v>10500</v>
      </c>
    </row>
    <row r="1739" spans="1:11" ht="15.75">
      <c r="A1739" s="5">
        <v>45733</v>
      </c>
      <c r="B1739" s="6" t="s">
        <v>12</v>
      </c>
      <c r="C1739" s="7">
        <v>13.75</v>
      </c>
      <c r="D1739" s="7">
        <v>10.1</v>
      </c>
      <c r="E1739" s="8">
        <v>3200</v>
      </c>
      <c r="F1739" s="6">
        <v>2000</v>
      </c>
      <c r="G1739" s="6">
        <v>5500</v>
      </c>
      <c r="H1739" s="9">
        <f t="shared" si="138"/>
        <v>10700</v>
      </c>
      <c r="I1739" s="9">
        <v>0</v>
      </c>
      <c r="J1739" s="9">
        <v>10700</v>
      </c>
      <c r="K1739" s="10">
        <v>10391</v>
      </c>
    </row>
    <row r="1740" spans="1:11" ht="15.75">
      <c r="A1740" s="5">
        <v>45734</v>
      </c>
      <c r="B1740" s="6" t="s">
        <v>12</v>
      </c>
      <c r="C1740" s="7">
        <v>13.75</v>
      </c>
      <c r="D1740" s="7">
        <v>10.1</v>
      </c>
      <c r="E1740" s="8">
        <v>3200</v>
      </c>
      <c r="F1740" s="6">
        <v>2000</v>
      </c>
      <c r="G1740" s="6">
        <v>5500</v>
      </c>
      <c r="H1740" s="9">
        <f t="shared" si="138"/>
        <v>10700</v>
      </c>
      <c r="I1740" s="9">
        <v>0</v>
      </c>
      <c r="J1740" s="9">
        <v>10700</v>
      </c>
      <c r="K1740" s="9">
        <v>10700</v>
      </c>
    </row>
    <row r="1741" spans="1:11" ht="15.75">
      <c r="A1741" s="5">
        <v>45735</v>
      </c>
      <c r="B1741" s="6" t="s">
        <v>12</v>
      </c>
      <c r="C1741" s="7">
        <v>13.73</v>
      </c>
      <c r="D1741" s="7">
        <v>10.050000000000001</v>
      </c>
      <c r="E1741" s="8">
        <v>3200</v>
      </c>
      <c r="F1741" s="6">
        <v>2000</v>
      </c>
      <c r="G1741" s="6">
        <v>5500</v>
      </c>
      <c r="H1741" s="9">
        <f t="shared" si="138"/>
        <v>10700</v>
      </c>
      <c r="I1741" s="9">
        <v>0</v>
      </c>
      <c r="J1741" s="9">
        <v>10700</v>
      </c>
      <c r="K1741" s="10">
        <v>10551</v>
      </c>
    </row>
    <row r="1742" spans="1:11" ht="15.75">
      <c r="A1742" s="5">
        <v>45736</v>
      </c>
      <c r="B1742" s="6" t="s">
        <v>12</v>
      </c>
      <c r="C1742" s="7">
        <v>13.69</v>
      </c>
      <c r="D1742" s="7">
        <v>9.9</v>
      </c>
      <c r="E1742" s="8">
        <v>3200</v>
      </c>
      <c r="F1742" s="8">
        <v>2000</v>
      </c>
      <c r="G1742" s="8">
        <v>5500</v>
      </c>
      <c r="H1742" s="9">
        <f t="shared" si="138"/>
        <v>10700</v>
      </c>
      <c r="I1742" s="9">
        <v>0</v>
      </c>
      <c r="J1742" s="9">
        <v>10700</v>
      </c>
      <c r="K1742" s="10">
        <v>10386</v>
      </c>
    </row>
    <row r="1743" spans="1:11" ht="15.75">
      <c r="A1743" s="5">
        <v>45737</v>
      </c>
      <c r="B1743" s="6" t="s">
        <v>12</v>
      </c>
      <c r="C1743" s="7">
        <v>13.67</v>
      </c>
      <c r="D1743" s="7">
        <v>9.85</v>
      </c>
      <c r="E1743" s="8">
        <v>3200</v>
      </c>
      <c r="F1743" s="8">
        <v>2000</v>
      </c>
      <c r="G1743" s="6">
        <v>5500</v>
      </c>
      <c r="H1743" s="9">
        <f t="shared" si="138"/>
        <v>10700</v>
      </c>
      <c r="I1743" s="9">
        <v>0</v>
      </c>
      <c r="J1743" s="9">
        <v>10700</v>
      </c>
      <c r="K1743" s="9">
        <v>10546</v>
      </c>
    </row>
    <row r="1744" spans="1:11" ht="15.75">
      <c r="A1744" s="5">
        <v>45738</v>
      </c>
      <c r="B1744" s="6" t="s">
        <v>12</v>
      </c>
      <c r="C1744" s="7">
        <v>13.67</v>
      </c>
      <c r="D1744" s="7">
        <v>9.85</v>
      </c>
      <c r="E1744" s="8">
        <v>3200</v>
      </c>
      <c r="F1744" s="8">
        <v>2000</v>
      </c>
      <c r="G1744" s="6">
        <v>5500</v>
      </c>
      <c r="H1744" s="9">
        <f t="shared" si="138"/>
        <v>10700</v>
      </c>
      <c r="I1744" s="9">
        <v>0</v>
      </c>
      <c r="J1744" s="9">
        <v>10700</v>
      </c>
      <c r="K1744" s="9">
        <v>10700</v>
      </c>
    </row>
    <row r="1745" spans="1:11" ht="15.75">
      <c r="A1745" s="5">
        <v>45739</v>
      </c>
      <c r="B1745" s="6" t="s">
        <v>12</v>
      </c>
      <c r="C1745" s="7">
        <v>13.67</v>
      </c>
      <c r="D1745" s="7">
        <v>9.85</v>
      </c>
      <c r="E1745" s="8">
        <v>3200</v>
      </c>
      <c r="F1745" s="8">
        <v>2000</v>
      </c>
      <c r="G1745" s="6">
        <v>5500</v>
      </c>
      <c r="H1745" s="9">
        <f t="shared" si="138"/>
        <v>10700</v>
      </c>
      <c r="I1745" s="9">
        <v>0</v>
      </c>
      <c r="J1745" s="9">
        <v>10700</v>
      </c>
      <c r="K1745" s="9">
        <v>10700</v>
      </c>
    </row>
    <row r="1746" spans="1:11" ht="15.75">
      <c r="A1746" s="5">
        <v>45740</v>
      </c>
      <c r="B1746" s="6" t="s">
        <v>12</v>
      </c>
      <c r="C1746" s="7">
        <v>13.64</v>
      </c>
      <c r="D1746" s="7">
        <v>9.75</v>
      </c>
      <c r="E1746" s="8">
        <v>3200</v>
      </c>
      <c r="F1746" s="8">
        <v>2000</v>
      </c>
      <c r="G1746" s="6">
        <v>5500</v>
      </c>
      <c r="H1746" s="9">
        <f t="shared" si="138"/>
        <v>10700</v>
      </c>
      <c r="I1746" s="9">
        <v>0</v>
      </c>
      <c r="J1746" s="9">
        <v>10700</v>
      </c>
      <c r="K1746" s="9">
        <v>10468</v>
      </c>
    </row>
    <row r="1747" spans="1:11" ht="15.75">
      <c r="A1747" s="5">
        <v>45741</v>
      </c>
      <c r="B1747" s="6" t="s">
        <v>12</v>
      </c>
      <c r="C1747" s="7">
        <v>13.63</v>
      </c>
      <c r="D1747" s="7">
        <v>9.6999999999999993</v>
      </c>
      <c r="E1747" s="8">
        <v>3200</v>
      </c>
      <c r="F1747" s="8">
        <v>2000</v>
      </c>
      <c r="G1747" s="6">
        <v>5500</v>
      </c>
      <c r="H1747" s="9">
        <f t="shared" si="138"/>
        <v>10700</v>
      </c>
      <c r="I1747" s="9">
        <v>0</v>
      </c>
      <c r="J1747" s="9">
        <v>10700</v>
      </c>
      <c r="K1747" s="9">
        <v>10622</v>
      </c>
    </row>
    <row r="1748" spans="1:11" ht="15.75">
      <c r="A1748" s="5">
        <v>45742</v>
      </c>
      <c r="B1748" s="6" t="s">
        <v>12</v>
      </c>
      <c r="C1748" s="7">
        <v>13.6</v>
      </c>
      <c r="D1748" s="7">
        <v>9.6</v>
      </c>
      <c r="E1748" s="8">
        <v>3200</v>
      </c>
      <c r="F1748" s="8">
        <v>2000</v>
      </c>
      <c r="G1748" s="6">
        <v>5500</v>
      </c>
      <c r="H1748" s="9">
        <f t="shared" si="138"/>
        <v>10700</v>
      </c>
      <c r="I1748" s="9">
        <v>0</v>
      </c>
      <c r="J1748" s="9">
        <v>10700</v>
      </c>
      <c r="K1748" s="9">
        <v>10468</v>
      </c>
    </row>
    <row r="1749" spans="1:11" ht="15.75">
      <c r="A1749" s="5">
        <v>45743</v>
      </c>
      <c r="B1749" s="6" t="s">
        <v>12</v>
      </c>
      <c r="C1749" s="7">
        <v>13.57</v>
      </c>
      <c r="D1749" s="7">
        <v>9.5</v>
      </c>
      <c r="E1749" s="8">
        <v>3200</v>
      </c>
      <c r="F1749" s="8">
        <v>2000</v>
      </c>
      <c r="G1749" s="6">
        <v>5500</v>
      </c>
      <c r="H1749" s="9">
        <f t="shared" si="138"/>
        <v>10700</v>
      </c>
      <c r="I1749" s="9">
        <v>0</v>
      </c>
      <c r="J1749" s="9">
        <v>10700</v>
      </c>
      <c r="K1749" s="9">
        <v>10468</v>
      </c>
    </row>
    <row r="1750" spans="1:11" ht="15.75">
      <c r="A1750" s="5">
        <v>45744</v>
      </c>
      <c r="B1750" s="6" t="s">
        <v>12</v>
      </c>
      <c r="C1750" s="7">
        <v>13.55</v>
      </c>
      <c r="D1750" s="7">
        <v>9.4499999999999993</v>
      </c>
      <c r="E1750" s="8">
        <v>3200</v>
      </c>
      <c r="F1750" s="8">
        <v>2000</v>
      </c>
      <c r="G1750" s="6">
        <v>5500</v>
      </c>
      <c r="H1750" s="9">
        <f t="shared" si="138"/>
        <v>10700</v>
      </c>
      <c r="I1750" s="9">
        <v>0</v>
      </c>
      <c r="J1750" s="9">
        <v>10700</v>
      </c>
      <c r="K1750" s="9">
        <v>10546</v>
      </c>
    </row>
    <row r="1751" spans="1:11" ht="15.75">
      <c r="A1751" s="5">
        <v>45745</v>
      </c>
      <c r="B1751" s="6" t="s">
        <v>12</v>
      </c>
      <c r="C1751" s="7">
        <v>13.55</v>
      </c>
      <c r="D1751" s="7">
        <v>9.4499999999999993</v>
      </c>
      <c r="E1751" s="8">
        <v>3200</v>
      </c>
      <c r="F1751" s="8">
        <v>2000</v>
      </c>
      <c r="G1751" s="6">
        <v>5500</v>
      </c>
      <c r="H1751" s="9">
        <f t="shared" si="138"/>
        <v>10700</v>
      </c>
      <c r="I1751" s="9">
        <v>0</v>
      </c>
      <c r="J1751" s="9">
        <v>10700</v>
      </c>
      <c r="K1751" s="9">
        <v>10700</v>
      </c>
    </row>
    <row r="1752" spans="1:11" ht="15.75">
      <c r="A1752" s="5">
        <v>45746</v>
      </c>
      <c r="B1752" s="6" t="s">
        <v>12</v>
      </c>
      <c r="C1752" s="7">
        <v>13.52</v>
      </c>
      <c r="D1752" s="7">
        <v>9.35</v>
      </c>
      <c r="E1752" s="8">
        <v>3200</v>
      </c>
      <c r="F1752" s="8">
        <v>2000</v>
      </c>
      <c r="G1752" s="6">
        <v>5500</v>
      </c>
      <c r="H1752" s="9">
        <f t="shared" si="138"/>
        <v>10700</v>
      </c>
      <c r="I1752" s="9">
        <v>0</v>
      </c>
      <c r="J1752" s="9">
        <v>10700</v>
      </c>
      <c r="K1752" s="9">
        <v>10462</v>
      </c>
    </row>
    <row r="1753" spans="1:11" ht="15.75">
      <c r="A1753" s="5">
        <v>45747</v>
      </c>
      <c r="B1753" s="6" t="s">
        <v>12</v>
      </c>
      <c r="C1753" s="7">
        <v>13.5</v>
      </c>
      <c r="D1753" s="7">
        <v>9.3000000000000007</v>
      </c>
      <c r="E1753" s="8">
        <v>3200</v>
      </c>
      <c r="F1753" s="8">
        <v>2000</v>
      </c>
      <c r="G1753" s="6">
        <v>5500</v>
      </c>
      <c r="H1753" s="9">
        <f t="shared" si="138"/>
        <v>10700</v>
      </c>
      <c r="I1753" s="9">
        <v>0</v>
      </c>
      <c r="J1753" s="9">
        <v>10700</v>
      </c>
      <c r="K1753" s="9">
        <v>10546</v>
      </c>
    </row>
    <row r="1754" spans="1:11" ht="15.75">
      <c r="A1754" s="2" t="s">
        <v>13</v>
      </c>
      <c r="B1754" s="2"/>
      <c r="C1754" s="2"/>
      <c r="D1754" s="2"/>
      <c r="E1754" s="11">
        <f t="shared" ref="E1754:K1754" si="139">SUM(E1723:E1753)</f>
        <v>93700</v>
      </c>
      <c r="F1754" s="11">
        <f t="shared" si="139"/>
        <v>59260</v>
      </c>
      <c r="G1754" s="11">
        <f t="shared" si="139"/>
        <v>161600</v>
      </c>
      <c r="H1754" s="11">
        <f t="shared" si="139"/>
        <v>314560</v>
      </c>
      <c r="I1754" s="11">
        <f t="shared" si="139"/>
        <v>0</v>
      </c>
      <c r="J1754" s="11">
        <f t="shared" si="139"/>
        <v>314560</v>
      </c>
      <c r="K1754" s="11">
        <f t="shared" si="139"/>
        <v>315195</v>
      </c>
    </row>
    <row r="1755" spans="1:11" ht="15.75">
      <c r="A1755" s="12"/>
      <c r="B1755" s="2"/>
      <c r="C1755" s="2"/>
      <c r="D1755" s="2"/>
      <c r="E1755" s="13">
        <f t="shared" ref="E1755:K1755" si="140">SUM(E1754/11575)</f>
        <v>8.0950323974082075</v>
      </c>
      <c r="F1755" s="13">
        <f t="shared" si="140"/>
        <v>5.1196544276457887</v>
      </c>
      <c r="G1755" s="13">
        <f t="shared" si="140"/>
        <v>13.961123110151188</v>
      </c>
      <c r="H1755" s="13">
        <f t="shared" si="140"/>
        <v>27.175809935205184</v>
      </c>
      <c r="I1755" s="13">
        <f t="shared" si="140"/>
        <v>0</v>
      </c>
      <c r="J1755" s="13">
        <f t="shared" si="140"/>
        <v>27.175809935205184</v>
      </c>
      <c r="K1755" s="13">
        <f t="shared" si="140"/>
        <v>27.230669546436285</v>
      </c>
    </row>
    <row r="1756" spans="1:11" ht="15.75">
      <c r="A1756" s="1" t="s">
        <v>71</v>
      </c>
      <c r="B1756" s="1"/>
      <c r="C1756" s="1"/>
      <c r="D1756" s="1"/>
      <c r="E1756" s="1"/>
      <c r="F1756" s="1"/>
      <c r="G1756" s="1"/>
      <c r="H1756" s="1"/>
      <c r="I1756" s="1"/>
      <c r="J1756" s="1"/>
      <c r="K1756" s="1"/>
    </row>
    <row r="1757" spans="1:11" ht="47.25">
      <c r="A1757" s="2" t="s">
        <v>1</v>
      </c>
      <c r="B1757" s="2" t="s">
        <v>2</v>
      </c>
      <c r="C1757" s="3" t="s">
        <v>18</v>
      </c>
      <c r="D1757" s="3" t="s">
        <v>4</v>
      </c>
      <c r="E1757" s="3" t="s">
        <v>5</v>
      </c>
      <c r="F1757" s="3" t="s">
        <v>6</v>
      </c>
      <c r="G1757" s="3" t="s">
        <v>7</v>
      </c>
      <c r="H1757" s="3" t="s">
        <v>8</v>
      </c>
      <c r="I1757" s="3" t="s">
        <v>9</v>
      </c>
      <c r="J1757" s="3" t="s">
        <v>19</v>
      </c>
      <c r="K1757" s="4" t="s">
        <v>11</v>
      </c>
    </row>
    <row r="1758" spans="1:11" ht="15.75">
      <c r="A1758" s="5">
        <v>45748</v>
      </c>
      <c r="B1758" s="6" t="s">
        <v>12</v>
      </c>
      <c r="C1758" s="7">
        <v>13.49</v>
      </c>
      <c r="D1758" s="7">
        <v>9.25</v>
      </c>
      <c r="E1758" s="8">
        <v>3200</v>
      </c>
      <c r="F1758" s="8">
        <v>2000</v>
      </c>
      <c r="G1758" s="6">
        <v>5500</v>
      </c>
      <c r="H1758" s="14">
        <f>E1758+F1758+G1758</f>
        <v>10700</v>
      </c>
      <c r="I1758" s="9">
        <v>0</v>
      </c>
      <c r="J1758" s="9">
        <v>10700</v>
      </c>
      <c r="K1758" s="9">
        <v>10622</v>
      </c>
    </row>
    <row r="1759" spans="1:11" ht="15.75">
      <c r="A1759" s="5">
        <v>45749</v>
      </c>
      <c r="B1759" s="6" t="s">
        <v>12</v>
      </c>
      <c r="C1759" s="7">
        <v>13.5</v>
      </c>
      <c r="D1759" s="7">
        <v>9.3000000000000007</v>
      </c>
      <c r="E1759" s="8">
        <v>3200</v>
      </c>
      <c r="F1759" s="8">
        <v>2000</v>
      </c>
      <c r="G1759" s="6">
        <v>5500</v>
      </c>
      <c r="H1759" s="9">
        <f t="shared" ref="H1759:H1787" si="141">E1759+F1759+G1759</f>
        <v>10700</v>
      </c>
      <c r="I1759" s="9">
        <v>0</v>
      </c>
      <c r="J1759" s="9">
        <v>10700</v>
      </c>
      <c r="K1759" s="9">
        <v>10778</v>
      </c>
    </row>
    <row r="1760" spans="1:11" ht="15.75">
      <c r="A1760" s="5">
        <v>45750</v>
      </c>
      <c r="B1760" s="6" t="s">
        <v>12</v>
      </c>
      <c r="C1760" s="7">
        <v>13.53</v>
      </c>
      <c r="D1760" s="7">
        <v>9.4</v>
      </c>
      <c r="E1760" s="8">
        <v>3200</v>
      </c>
      <c r="F1760" s="8">
        <v>2000</v>
      </c>
      <c r="G1760" s="8">
        <v>5500</v>
      </c>
      <c r="H1760" s="9">
        <f t="shared" si="141"/>
        <v>10700</v>
      </c>
      <c r="I1760" s="9">
        <v>0</v>
      </c>
      <c r="J1760" s="9">
        <v>10700</v>
      </c>
      <c r="K1760" s="10">
        <v>10932</v>
      </c>
    </row>
    <row r="1761" spans="1:11" ht="15.75">
      <c r="A1761" s="5">
        <v>45751</v>
      </c>
      <c r="B1761" s="6" t="s">
        <v>12</v>
      </c>
      <c r="C1761" s="7">
        <v>13.55</v>
      </c>
      <c r="D1761" s="7">
        <v>9.4499999999999993</v>
      </c>
      <c r="E1761" s="8">
        <v>3000</v>
      </c>
      <c r="F1761" s="8">
        <v>2000</v>
      </c>
      <c r="G1761" s="8">
        <v>5300</v>
      </c>
      <c r="H1761" s="9">
        <f t="shared" si="141"/>
        <v>10300</v>
      </c>
      <c r="I1761" s="9">
        <v>0</v>
      </c>
      <c r="J1761" s="9">
        <v>10300</v>
      </c>
      <c r="K1761" s="10">
        <v>10454</v>
      </c>
    </row>
    <row r="1762" spans="1:11" ht="15.75">
      <c r="A1762" s="5">
        <v>45752</v>
      </c>
      <c r="B1762" s="6" t="s">
        <v>12</v>
      </c>
      <c r="C1762" s="7">
        <v>13.57</v>
      </c>
      <c r="D1762" s="7">
        <v>9.5</v>
      </c>
      <c r="E1762" s="8">
        <v>3000</v>
      </c>
      <c r="F1762" s="8">
        <v>2000</v>
      </c>
      <c r="G1762" s="8">
        <v>5300</v>
      </c>
      <c r="H1762" s="9">
        <f t="shared" si="141"/>
        <v>10300</v>
      </c>
      <c r="I1762" s="9">
        <v>0</v>
      </c>
      <c r="J1762" s="9">
        <v>10300</v>
      </c>
      <c r="K1762" s="10">
        <v>10454</v>
      </c>
    </row>
    <row r="1763" spans="1:11" ht="15.75">
      <c r="A1763" s="5">
        <v>45753</v>
      </c>
      <c r="B1763" s="6" t="s">
        <v>12</v>
      </c>
      <c r="C1763" s="7">
        <v>13.57</v>
      </c>
      <c r="D1763" s="7">
        <v>9.5</v>
      </c>
      <c r="E1763" s="8">
        <v>3000</v>
      </c>
      <c r="F1763" s="8">
        <v>2000</v>
      </c>
      <c r="G1763" s="8">
        <v>5300</v>
      </c>
      <c r="H1763" s="9">
        <f t="shared" si="141"/>
        <v>10300</v>
      </c>
      <c r="I1763" s="9">
        <v>0</v>
      </c>
      <c r="J1763" s="9">
        <v>10300</v>
      </c>
      <c r="K1763" s="10">
        <v>10300</v>
      </c>
    </row>
    <row r="1764" spans="1:11" ht="15.75">
      <c r="A1764" s="5">
        <v>45754</v>
      </c>
      <c r="B1764" s="6" t="s">
        <v>12</v>
      </c>
      <c r="C1764" s="7">
        <v>13.61</v>
      </c>
      <c r="D1764" s="7">
        <v>9.65</v>
      </c>
      <c r="E1764" s="8">
        <v>2700</v>
      </c>
      <c r="F1764" s="8">
        <v>2000</v>
      </c>
      <c r="G1764" s="8">
        <v>5300</v>
      </c>
      <c r="H1764" s="9">
        <f t="shared" si="141"/>
        <v>10000</v>
      </c>
      <c r="I1764" s="9">
        <v>0</v>
      </c>
      <c r="J1764" s="9">
        <v>10000</v>
      </c>
      <c r="K1764" s="10">
        <v>10309</v>
      </c>
    </row>
    <row r="1765" spans="1:11" ht="15.75">
      <c r="A1765" s="5">
        <v>45755</v>
      </c>
      <c r="B1765" s="6" t="s">
        <v>12</v>
      </c>
      <c r="C1765" s="7">
        <v>13.66</v>
      </c>
      <c r="D1765" s="7">
        <v>9.8000000000000007</v>
      </c>
      <c r="E1765" s="8">
        <v>2200</v>
      </c>
      <c r="F1765" s="8">
        <v>1700</v>
      </c>
      <c r="G1765" s="8">
        <v>4000</v>
      </c>
      <c r="H1765" s="9">
        <f t="shared" si="141"/>
        <v>7900</v>
      </c>
      <c r="I1765" s="9">
        <v>0</v>
      </c>
      <c r="J1765" s="9">
        <v>7900</v>
      </c>
      <c r="K1765" s="10">
        <v>8285</v>
      </c>
    </row>
    <row r="1766" spans="1:11" ht="15.75">
      <c r="A1766" s="5">
        <v>45756</v>
      </c>
      <c r="B1766" s="6" t="s">
        <v>12</v>
      </c>
      <c r="C1766" s="7">
        <v>13.7</v>
      </c>
      <c r="D1766" s="7">
        <v>9.9499999999999993</v>
      </c>
      <c r="E1766" s="8">
        <v>2200</v>
      </c>
      <c r="F1766" s="8">
        <v>1700</v>
      </c>
      <c r="G1766" s="8">
        <v>5000</v>
      </c>
      <c r="H1766" s="9">
        <f t="shared" si="141"/>
        <v>8900</v>
      </c>
      <c r="I1766" s="9">
        <v>0</v>
      </c>
      <c r="J1766" s="9">
        <v>8900</v>
      </c>
      <c r="K1766" s="10">
        <v>9209</v>
      </c>
    </row>
    <row r="1767" spans="1:11" ht="15.75">
      <c r="A1767" s="5">
        <v>45757</v>
      </c>
      <c r="B1767" s="6" t="s">
        <v>12</v>
      </c>
      <c r="C1767" s="7">
        <v>13.75</v>
      </c>
      <c r="D1767" s="7">
        <v>10.1</v>
      </c>
      <c r="E1767" s="8">
        <v>2200</v>
      </c>
      <c r="F1767" s="8">
        <v>1700</v>
      </c>
      <c r="G1767" s="8">
        <v>5000</v>
      </c>
      <c r="H1767" s="9">
        <f t="shared" si="141"/>
        <v>8900</v>
      </c>
      <c r="I1767" s="9">
        <v>0</v>
      </c>
      <c r="J1767" s="9">
        <v>8900</v>
      </c>
      <c r="K1767" s="9">
        <v>9285</v>
      </c>
    </row>
    <row r="1768" spans="1:11" ht="15.75">
      <c r="A1768" s="5">
        <v>45758</v>
      </c>
      <c r="B1768" s="6" t="s">
        <v>12</v>
      </c>
      <c r="C1768" s="7">
        <v>13.75</v>
      </c>
      <c r="D1768" s="7">
        <v>10.1</v>
      </c>
      <c r="E1768" s="8">
        <v>2200</v>
      </c>
      <c r="F1768" s="8">
        <v>1700</v>
      </c>
      <c r="G1768" s="8">
        <v>5000</v>
      </c>
      <c r="H1768" s="9">
        <f t="shared" si="141"/>
        <v>8900</v>
      </c>
      <c r="I1768" s="9">
        <v>0</v>
      </c>
      <c r="J1768" s="9">
        <v>8900</v>
      </c>
      <c r="K1768" s="9">
        <v>8900</v>
      </c>
    </row>
    <row r="1769" spans="1:11" ht="15.75">
      <c r="A1769" s="5">
        <v>45759</v>
      </c>
      <c r="B1769" s="6" t="s">
        <v>12</v>
      </c>
      <c r="C1769" s="7">
        <v>13.7</v>
      </c>
      <c r="D1769" s="7">
        <v>9.9499999999999993</v>
      </c>
      <c r="E1769" s="8">
        <v>1900</v>
      </c>
      <c r="F1769" s="6">
        <v>1500</v>
      </c>
      <c r="G1769" s="8">
        <v>4700</v>
      </c>
      <c r="H1769" s="9">
        <f t="shared" si="141"/>
        <v>8100</v>
      </c>
      <c r="I1769" s="9">
        <v>0</v>
      </c>
      <c r="J1769" s="9">
        <v>8100</v>
      </c>
      <c r="K1769" s="10">
        <v>7715</v>
      </c>
    </row>
    <row r="1770" spans="1:11" ht="15.75">
      <c r="A1770" s="5">
        <v>45760</v>
      </c>
      <c r="B1770" s="6" t="s">
        <v>12</v>
      </c>
      <c r="C1770" s="7">
        <v>13.66</v>
      </c>
      <c r="D1770" s="7">
        <v>9.8000000000000007</v>
      </c>
      <c r="E1770" s="8">
        <v>1900</v>
      </c>
      <c r="F1770" s="6">
        <v>1300</v>
      </c>
      <c r="G1770" s="8">
        <v>4700</v>
      </c>
      <c r="H1770" s="9">
        <f t="shared" si="141"/>
        <v>7900</v>
      </c>
      <c r="I1770" s="9">
        <v>0</v>
      </c>
      <c r="J1770" s="9">
        <v>7900</v>
      </c>
      <c r="K1770" s="10">
        <v>7591</v>
      </c>
    </row>
    <row r="1771" spans="1:11" ht="15.75">
      <c r="A1771" s="5">
        <v>45761</v>
      </c>
      <c r="B1771" s="6" t="s">
        <v>12</v>
      </c>
      <c r="C1771" s="7">
        <v>13.64</v>
      </c>
      <c r="D1771" s="7">
        <v>9.75</v>
      </c>
      <c r="E1771" s="8">
        <v>1900</v>
      </c>
      <c r="F1771" s="6">
        <v>1300</v>
      </c>
      <c r="G1771" s="8">
        <v>4700</v>
      </c>
      <c r="H1771" s="9">
        <f t="shared" si="141"/>
        <v>7900</v>
      </c>
      <c r="I1771" s="9">
        <v>0</v>
      </c>
      <c r="J1771" s="9">
        <v>7900</v>
      </c>
      <c r="K1771" s="10">
        <v>7746</v>
      </c>
    </row>
    <row r="1772" spans="1:11" ht="15.75">
      <c r="A1772" s="5">
        <v>45762</v>
      </c>
      <c r="B1772" s="6" t="s">
        <v>12</v>
      </c>
      <c r="C1772" s="7">
        <v>13.61</v>
      </c>
      <c r="D1772" s="7">
        <v>9.65</v>
      </c>
      <c r="E1772" s="8">
        <v>1500</v>
      </c>
      <c r="F1772" s="6">
        <v>1300</v>
      </c>
      <c r="G1772" s="8">
        <v>3500</v>
      </c>
      <c r="H1772" s="9">
        <f t="shared" si="141"/>
        <v>6300</v>
      </c>
      <c r="I1772" s="9">
        <v>0</v>
      </c>
      <c r="J1772" s="9">
        <v>6300</v>
      </c>
      <c r="K1772" s="10">
        <v>6068</v>
      </c>
    </row>
    <row r="1773" spans="1:11" ht="15.75">
      <c r="A1773" s="5">
        <v>45763</v>
      </c>
      <c r="B1773" s="6" t="s">
        <v>12</v>
      </c>
      <c r="C1773" s="7">
        <v>13.5</v>
      </c>
      <c r="D1773" s="7">
        <v>9.3000000000000007</v>
      </c>
      <c r="E1773" s="8">
        <v>1200</v>
      </c>
      <c r="F1773" s="6">
        <v>1100</v>
      </c>
      <c r="G1773" s="8">
        <v>3000</v>
      </c>
      <c r="H1773" s="9">
        <f t="shared" si="141"/>
        <v>5300</v>
      </c>
      <c r="I1773" s="9">
        <v>0</v>
      </c>
      <c r="J1773" s="9">
        <v>5300</v>
      </c>
      <c r="K1773" s="10">
        <v>4452</v>
      </c>
    </row>
    <row r="1774" spans="1:11" ht="15.75">
      <c r="A1774" s="5">
        <v>45764</v>
      </c>
      <c r="B1774" s="6" t="s">
        <v>12</v>
      </c>
      <c r="C1774" s="7">
        <v>13.43</v>
      </c>
      <c r="D1774" s="7">
        <v>9.0500000000000007</v>
      </c>
      <c r="E1774" s="8">
        <v>1200</v>
      </c>
      <c r="F1774" s="6">
        <v>1100</v>
      </c>
      <c r="G1774" s="6">
        <v>3000</v>
      </c>
      <c r="H1774" s="9">
        <f t="shared" si="141"/>
        <v>5300</v>
      </c>
      <c r="I1774" s="9">
        <v>0</v>
      </c>
      <c r="J1774" s="9">
        <v>5300</v>
      </c>
      <c r="K1774" s="10">
        <v>4759</v>
      </c>
    </row>
    <row r="1775" spans="1:11" ht="15.75">
      <c r="A1775" s="5">
        <v>45765</v>
      </c>
      <c r="B1775" s="6" t="s">
        <v>12</v>
      </c>
      <c r="C1775" s="7">
        <v>13.41</v>
      </c>
      <c r="D1775" s="7">
        <v>9</v>
      </c>
      <c r="E1775" s="8">
        <v>1200</v>
      </c>
      <c r="F1775" s="6">
        <v>1100</v>
      </c>
      <c r="G1775" s="6">
        <v>3000</v>
      </c>
      <c r="H1775" s="9">
        <f t="shared" si="141"/>
        <v>5300</v>
      </c>
      <c r="I1775" s="9">
        <v>0</v>
      </c>
      <c r="J1775" s="9">
        <v>5300</v>
      </c>
      <c r="K1775" s="9">
        <v>5146</v>
      </c>
    </row>
    <row r="1776" spans="1:11" ht="15.75">
      <c r="A1776" s="5">
        <v>45766</v>
      </c>
      <c r="B1776" s="6" t="s">
        <v>12</v>
      </c>
      <c r="C1776" s="7">
        <v>13.44</v>
      </c>
      <c r="D1776" s="7">
        <v>9.1</v>
      </c>
      <c r="E1776" s="8">
        <v>900</v>
      </c>
      <c r="F1776" s="6">
        <v>1000</v>
      </c>
      <c r="G1776" s="6">
        <v>3000</v>
      </c>
      <c r="H1776" s="9">
        <f t="shared" si="141"/>
        <v>4900</v>
      </c>
      <c r="I1776" s="9">
        <v>0</v>
      </c>
      <c r="J1776" s="9">
        <v>4900</v>
      </c>
      <c r="K1776" s="10">
        <v>5132</v>
      </c>
    </row>
    <row r="1777" spans="1:11" ht="15.75">
      <c r="A1777" s="5">
        <v>45767</v>
      </c>
      <c r="B1777" s="6" t="s">
        <v>12</v>
      </c>
      <c r="C1777" s="7">
        <v>13.49</v>
      </c>
      <c r="D1777" s="7">
        <v>9.25</v>
      </c>
      <c r="E1777" s="8">
        <v>900</v>
      </c>
      <c r="F1777" s="8">
        <v>1000</v>
      </c>
      <c r="G1777" s="8">
        <v>3000</v>
      </c>
      <c r="H1777" s="9">
        <f t="shared" si="141"/>
        <v>4900</v>
      </c>
      <c r="I1777" s="9">
        <v>0</v>
      </c>
      <c r="J1777" s="9">
        <v>4900</v>
      </c>
      <c r="K1777" s="10">
        <v>5285</v>
      </c>
    </row>
    <row r="1778" spans="1:11" ht="15.75">
      <c r="A1778" s="5">
        <v>45768</v>
      </c>
      <c r="B1778" s="6" t="s">
        <v>12</v>
      </c>
      <c r="C1778" s="7">
        <v>13.5</v>
      </c>
      <c r="D1778" s="7">
        <v>9.3000000000000007</v>
      </c>
      <c r="E1778" s="8">
        <v>900</v>
      </c>
      <c r="F1778" s="8">
        <v>1000</v>
      </c>
      <c r="G1778" s="6">
        <v>3000</v>
      </c>
      <c r="H1778" s="9">
        <f t="shared" si="141"/>
        <v>4900</v>
      </c>
      <c r="I1778" s="9">
        <v>0</v>
      </c>
      <c r="J1778" s="9">
        <v>4900</v>
      </c>
      <c r="K1778" s="9">
        <v>4978</v>
      </c>
    </row>
    <row r="1779" spans="1:11" ht="15.75">
      <c r="A1779" s="5">
        <v>45769</v>
      </c>
      <c r="B1779" s="6" t="s">
        <v>12</v>
      </c>
      <c r="C1779" s="7">
        <v>13.53</v>
      </c>
      <c r="D1779" s="7">
        <v>9.4</v>
      </c>
      <c r="E1779" s="8">
        <v>900</v>
      </c>
      <c r="F1779" s="8">
        <v>1000</v>
      </c>
      <c r="G1779" s="6">
        <v>3000</v>
      </c>
      <c r="H1779" s="9">
        <f t="shared" si="141"/>
        <v>4900</v>
      </c>
      <c r="I1779" s="9">
        <v>0</v>
      </c>
      <c r="J1779" s="9">
        <v>4900</v>
      </c>
      <c r="K1779" s="9">
        <v>5132</v>
      </c>
    </row>
    <row r="1780" spans="1:11" ht="15.75">
      <c r="A1780" s="5">
        <v>45770</v>
      </c>
      <c r="B1780" s="6" t="s">
        <v>12</v>
      </c>
      <c r="C1780" s="7">
        <v>13.52</v>
      </c>
      <c r="D1780" s="7">
        <v>9.35</v>
      </c>
      <c r="E1780" s="8">
        <v>900</v>
      </c>
      <c r="F1780" s="8">
        <v>1000</v>
      </c>
      <c r="G1780" s="6">
        <v>3000</v>
      </c>
      <c r="H1780" s="9">
        <f t="shared" si="141"/>
        <v>4900</v>
      </c>
      <c r="I1780" s="9">
        <v>0</v>
      </c>
      <c r="J1780" s="9">
        <v>4900</v>
      </c>
      <c r="K1780" s="9">
        <v>4822</v>
      </c>
    </row>
    <row r="1781" spans="1:11" ht="15.75">
      <c r="A1781" s="5">
        <v>45771</v>
      </c>
      <c r="B1781" s="6" t="s">
        <v>12</v>
      </c>
      <c r="C1781" s="7">
        <v>13.46</v>
      </c>
      <c r="D1781" s="7">
        <v>9.15</v>
      </c>
      <c r="E1781" s="8">
        <v>900</v>
      </c>
      <c r="F1781" s="8">
        <v>900</v>
      </c>
      <c r="G1781" s="6">
        <v>3000</v>
      </c>
      <c r="H1781" s="9">
        <f t="shared" si="141"/>
        <v>4800</v>
      </c>
      <c r="I1781" s="9">
        <v>0</v>
      </c>
      <c r="J1781" s="9">
        <v>4800</v>
      </c>
      <c r="K1781" s="9">
        <v>4337</v>
      </c>
    </row>
    <row r="1782" spans="1:11" ht="15.75">
      <c r="A1782" s="5">
        <v>45772</v>
      </c>
      <c r="B1782" s="6" t="s">
        <v>12</v>
      </c>
      <c r="C1782" s="7">
        <v>13.4</v>
      </c>
      <c r="D1782" s="7">
        <v>8.9499999999999993</v>
      </c>
      <c r="E1782" s="8">
        <v>600</v>
      </c>
      <c r="F1782" s="8">
        <v>900</v>
      </c>
      <c r="G1782" s="6">
        <v>3000</v>
      </c>
      <c r="H1782" s="9">
        <f t="shared" si="141"/>
        <v>4500</v>
      </c>
      <c r="I1782" s="9">
        <v>0</v>
      </c>
      <c r="J1782" s="9">
        <v>4500</v>
      </c>
      <c r="K1782" s="9">
        <v>4037</v>
      </c>
    </row>
    <row r="1783" spans="1:11" ht="15.75">
      <c r="A1783" s="5">
        <v>45773</v>
      </c>
      <c r="B1783" s="6" t="s">
        <v>12</v>
      </c>
      <c r="C1783" s="7">
        <v>13.38</v>
      </c>
      <c r="D1783" s="7">
        <v>8.9</v>
      </c>
      <c r="E1783" s="8">
        <v>300</v>
      </c>
      <c r="F1783" s="8">
        <v>700</v>
      </c>
      <c r="G1783" s="6">
        <v>3000</v>
      </c>
      <c r="H1783" s="9">
        <f t="shared" si="141"/>
        <v>4000</v>
      </c>
      <c r="I1783" s="9">
        <v>0</v>
      </c>
      <c r="J1783" s="9">
        <v>4000</v>
      </c>
      <c r="K1783" s="9">
        <v>3846</v>
      </c>
    </row>
    <row r="1784" spans="1:11" ht="15.75">
      <c r="A1784" s="5">
        <v>45774</v>
      </c>
      <c r="B1784" s="6" t="s">
        <v>12</v>
      </c>
      <c r="C1784" s="7">
        <v>13.34</v>
      </c>
      <c r="D1784" s="7">
        <v>8.75</v>
      </c>
      <c r="E1784" s="8">
        <v>300</v>
      </c>
      <c r="F1784" s="8">
        <v>700</v>
      </c>
      <c r="G1784" s="6">
        <v>1800</v>
      </c>
      <c r="H1784" s="9">
        <f t="shared" si="141"/>
        <v>2800</v>
      </c>
      <c r="I1784" s="9">
        <v>1142</v>
      </c>
      <c r="J1784" s="9">
        <v>3942</v>
      </c>
      <c r="K1784" s="9">
        <v>3633</v>
      </c>
    </row>
    <row r="1785" spans="1:11" ht="15.75">
      <c r="A1785" s="5">
        <v>45775</v>
      </c>
      <c r="B1785" s="6" t="s">
        <v>12</v>
      </c>
      <c r="C1785" s="7">
        <v>13.32</v>
      </c>
      <c r="D1785" s="7">
        <v>8.6999999999999993</v>
      </c>
      <c r="E1785" s="8">
        <v>0</v>
      </c>
      <c r="F1785" s="8">
        <v>0</v>
      </c>
      <c r="G1785" s="6">
        <v>0</v>
      </c>
      <c r="H1785" s="9">
        <f t="shared" si="141"/>
        <v>0</v>
      </c>
      <c r="I1785" s="9">
        <v>1945</v>
      </c>
      <c r="J1785" s="9">
        <v>1945</v>
      </c>
      <c r="K1785" s="9">
        <v>1793</v>
      </c>
    </row>
    <row r="1786" spans="1:11" ht="15.75">
      <c r="A1786" s="5">
        <v>45776</v>
      </c>
      <c r="B1786" s="6" t="s">
        <v>12</v>
      </c>
      <c r="C1786" s="7">
        <v>13.31</v>
      </c>
      <c r="D1786" s="7">
        <v>8.65</v>
      </c>
      <c r="E1786" s="8">
        <v>0</v>
      </c>
      <c r="F1786" s="8">
        <v>0</v>
      </c>
      <c r="G1786" s="6">
        <v>0</v>
      </c>
      <c r="H1786" s="9">
        <f t="shared" si="141"/>
        <v>0</v>
      </c>
      <c r="I1786" s="9">
        <v>1933</v>
      </c>
      <c r="J1786" s="9">
        <v>1933</v>
      </c>
      <c r="K1786" s="9">
        <v>1857</v>
      </c>
    </row>
    <row r="1787" spans="1:11" ht="15.75">
      <c r="A1787" s="5">
        <v>45777</v>
      </c>
      <c r="B1787" s="6" t="s">
        <v>12</v>
      </c>
      <c r="C1787" s="7">
        <v>13.32</v>
      </c>
      <c r="D1787" s="7">
        <v>8.6999999999999993</v>
      </c>
      <c r="E1787" s="8">
        <v>0</v>
      </c>
      <c r="F1787" s="8">
        <v>0</v>
      </c>
      <c r="G1787" s="6">
        <v>0</v>
      </c>
      <c r="H1787" s="9">
        <f t="shared" si="141"/>
        <v>0</v>
      </c>
      <c r="I1787" s="9">
        <v>1945</v>
      </c>
      <c r="J1787" s="9">
        <v>1945</v>
      </c>
      <c r="K1787" s="9">
        <v>2021</v>
      </c>
    </row>
    <row r="1788" spans="1:11" ht="15.75">
      <c r="A1788" s="2" t="s">
        <v>13</v>
      </c>
      <c r="B1788" s="2"/>
      <c r="C1788" s="2"/>
      <c r="D1788" s="2"/>
      <c r="E1788" s="11">
        <f t="shared" ref="E1788:J1788" si="142">SUM(E1758:E1787)</f>
        <v>47500</v>
      </c>
      <c r="F1788" s="11">
        <f t="shared" si="142"/>
        <v>37700</v>
      </c>
      <c r="G1788" s="11">
        <f t="shared" si="142"/>
        <v>109100</v>
      </c>
      <c r="H1788" s="11">
        <f t="shared" si="142"/>
        <v>194300</v>
      </c>
      <c r="I1788" s="11">
        <f t="shared" si="142"/>
        <v>6965</v>
      </c>
      <c r="J1788" s="11">
        <f t="shared" si="142"/>
        <v>201265</v>
      </c>
      <c r="K1788" s="11">
        <f>SUM(K1758:K1787)</f>
        <v>199878</v>
      </c>
    </row>
    <row r="1789" spans="1:11" ht="15.75">
      <c r="A1789" s="12"/>
      <c r="B1789" s="2"/>
      <c r="C1789" s="2"/>
      <c r="D1789" s="2"/>
      <c r="E1789" s="13">
        <f t="shared" ref="E1789:K1789" si="143">SUM(E1788/11575)</f>
        <v>4.1036717062634986</v>
      </c>
      <c r="F1789" s="13">
        <f t="shared" si="143"/>
        <v>3.2570194384449245</v>
      </c>
      <c r="G1789" s="13">
        <f t="shared" si="143"/>
        <v>9.4254859611231101</v>
      </c>
      <c r="H1789" s="13">
        <f t="shared" si="143"/>
        <v>16.786177105831534</v>
      </c>
      <c r="I1789" s="13">
        <f t="shared" si="143"/>
        <v>0.6017278617710583</v>
      </c>
      <c r="J1789" s="13">
        <f t="shared" si="143"/>
        <v>17.387904967602591</v>
      </c>
      <c r="K1789" s="13">
        <f t="shared" si="143"/>
        <v>17.268077753779696</v>
      </c>
    </row>
    <row r="1790" spans="1:11" ht="15.75">
      <c r="A1790" s="1" t="s">
        <v>72</v>
      </c>
      <c r="B1790" s="1"/>
      <c r="C1790" s="1"/>
      <c r="D1790" s="1"/>
      <c r="E1790" s="1"/>
      <c r="F1790" s="1"/>
      <c r="G1790" s="1"/>
      <c r="H1790" s="1"/>
      <c r="I1790" s="1"/>
      <c r="J1790" s="1"/>
      <c r="K1790" s="1"/>
    </row>
    <row r="1791" spans="1:11" ht="47.25">
      <c r="A1791" s="2" t="s">
        <v>1</v>
      </c>
      <c r="B1791" s="2" t="s">
        <v>2</v>
      </c>
      <c r="C1791" s="3" t="s">
        <v>18</v>
      </c>
      <c r="D1791" s="3" t="s">
        <v>4</v>
      </c>
      <c r="E1791" s="3" t="s">
        <v>5</v>
      </c>
      <c r="F1791" s="3" t="s">
        <v>6</v>
      </c>
      <c r="G1791" s="3" t="s">
        <v>7</v>
      </c>
      <c r="H1791" s="3" t="s">
        <v>8</v>
      </c>
      <c r="I1791" s="3" t="s">
        <v>9</v>
      </c>
      <c r="J1791" s="3" t="s">
        <v>19</v>
      </c>
      <c r="K1791" s="4" t="s">
        <v>11</v>
      </c>
    </row>
    <row r="1792" spans="1:11" ht="15.75">
      <c r="A1792" s="5">
        <v>45778</v>
      </c>
      <c r="B1792" s="6" t="s">
        <v>12</v>
      </c>
      <c r="C1792" s="7">
        <v>13.32</v>
      </c>
      <c r="D1792" s="7">
        <v>8.6999999999999993</v>
      </c>
      <c r="E1792" s="8">
        <v>0</v>
      </c>
      <c r="F1792" s="8">
        <v>0</v>
      </c>
      <c r="G1792" s="6">
        <v>0</v>
      </c>
      <c r="H1792" s="14">
        <f>E1792+F1792+G1792</f>
        <v>0</v>
      </c>
      <c r="I1792" s="9">
        <v>1945</v>
      </c>
      <c r="J1792" s="9">
        <v>1945</v>
      </c>
      <c r="K1792" s="9">
        <v>1945</v>
      </c>
    </row>
    <row r="1793" spans="1:11" ht="15.75">
      <c r="A1793" s="5">
        <v>45779</v>
      </c>
      <c r="B1793" s="6" t="s">
        <v>12</v>
      </c>
      <c r="C1793" s="7">
        <v>13.32</v>
      </c>
      <c r="D1793" s="7">
        <v>8.6999999999999993</v>
      </c>
      <c r="E1793" s="8">
        <v>0</v>
      </c>
      <c r="F1793" s="8">
        <v>0</v>
      </c>
      <c r="G1793" s="6">
        <v>0</v>
      </c>
      <c r="H1793" s="9">
        <f t="shared" ref="H1793:H1822" si="144">E1793+F1793+G1793</f>
        <v>0</v>
      </c>
      <c r="I1793" s="9">
        <v>1957</v>
      </c>
      <c r="J1793" s="9">
        <v>1957</v>
      </c>
      <c r="K1793" s="9">
        <v>1957</v>
      </c>
    </row>
    <row r="1794" spans="1:11" ht="15.75">
      <c r="A1794" s="5">
        <v>45780</v>
      </c>
      <c r="B1794" s="6" t="s">
        <v>12</v>
      </c>
      <c r="C1794" s="7">
        <v>13.34</v>
      </c>
      <c r="D1794" s="7">
        <v>8.75</v>
      </c>
      <c r="E1794" s="8">
        <v>0</v>
      </c>
      <c r="F1794" s="8">
        <v>0</v>
      </c>
      <c r="G1794" s="8">
        <v>0</v>
      </c>
      <c r="H1794" s="9">
        <f t="shared" si="144"/>
        <v>0</v>
      </c>
      <c r="I1794" s="9">
        <v>1945</v>
      </c>
      <c r="J1794" s="9">
        <v>1945</v>
      </c>
      <c r="K1794" s="10">
        <v>2097</v>
      </c>
    </row>
    <row r="1795" spans="1:11" ht="15.75">
      <c r="A1795" s="5">
        <v>45781</v>
      </c>
      <c r="B1795" s="6" t="s">
        <v>12</v>
      </c>
      <c r="C1795" s="7">
        <v>13.35</v>
      </c>
      <c r="D1795" s="7">
        <v>8.8000000000000007</v>
      </c>
      <c r="E1795" s="8">
        <v>0</v>
      </c>
      <c r="F1795" s="8">
        <v>0</v>
      </c>
      <c r="G1795" s="8">
        <v>0</v>
      </c>
      <c r="H1795" s="9">
        <f t="shared" si="144"/>
        <v>0</v>
      </c>
      <c r="I1795" s="9">
        <v>1957</v>
      </c>
      <c r="J1795" s="9">
        <v>1957</v>
      </c>
      <c r="K1795" s="10">
        <v>2033</v>
      </c>
    </row>
    <row r="1796" spans="1:11" ht="15.75">
      <c r="A1796" s="5">
        <v>45782</v>
      </c>
      <c r="B1796" s="6" t="s">
        <v>12</v>
      </c>
      <c r="C1796" s="7">
        <v>13.41</v>
      </c>
      <c r="D1796" s="7">
        <v>9</v>
      </c>
      <c r="E1796" s="8">
        <v>0</v>
      </c>
      <c r="F1796" s="8">
        <v>0</v>
      </c>
      <c r="G1796" s="8">
        <v>0</v>
      </c>
      <c r="H1796" s="9">
        <f t="shared" si="144"/>
        <v>0</v>
      </c>
      <c r="I1796" s="9">
        <v>1981</v>
      </c>
      <c r="J1796" s="9">
        <v>1981</v>
      </c>
      <c r="K1796" s="10">
        <v>2445</v>
      </c>
    </row>
    <row r="1797" spans="1:11" ht="15.75">
      <c r="A1797" s="5">
        <v>45783</v>
      </c>
      <c r="B1797" s="6" t="s">
        <v>12</v>
      </c>
      <c r="C1797" s="7">
        <v>13.44</v>
      </c>
      <c r="D1797" s="7">
        <v>9.1</v>
      </c>
      <c r="E1797" s="8">
        <v>0</v>
      </c>
      <c r="F1797" s="8">
        <v>0</v>
      </c>
      <c r="G1797" s="8">
        <v>0</v>
      </c>
      <c r="H1797" s="9">
        <f t="shared" si="144"/>
        <v>0</v>
      </c>
      <c r="I1797" s="9">
        <v>1987</v>
      </c>
      <c r="J1797" s="9">
        <v>1987</v>
      </c>
      <c r="K1797" s="10">
        <v>2219</v>
      </c>
    </row>
    <row r="1798" spans="1:11" ht="15.75">
      <c r="A1798" s="5">
        <v>45784</v>
      </c>
      <c r="B1798" s="6" t="s">
        <v>12</v>
      </c>
      <c r="C1798" s="7">
        <v>13.44</v>
      </c>
      <c r="D1798" s="7">
        <v>9.1</v>
      </c>
      <c r="E1798" s="8">
        <v>0</v>
      </c>
      <c r="F1798" s="8">
        <v>0</v>
      </c>
      <c r="G1798" s="8">
        <v>0</v>
      </c>
      <c r="H1798" s="9">
        <f t="shared" si="144"/>
        <v>0</v>
      </c>
      <c r="I1798" s="9">
        <v>1993</v>
      </c>
      <c r="J1798" s="9">
        <v>1993</v>
      </c>
      <c r="K1798" s="10">
        <v>1993</v>
      </c>
    </row>
    <row r="1799" spans="1:11" ht="15.75">
      <c r="A1799" s="5">
        <v>45785</v>
      </c>
      <c r="B1799" s="6" t="s">
        <v>12</v>
      </c>
      <c r="C1799" s="7">
        <v>13.44</v>
      </c>
      <c r="D1799" s="7">
        <v>9.1</v>
      </c>
      <c r="E1799" s="8">
        <v>0</v>
      </c>
      <c r="F1799" s="8">
        <v>0</v>
      </c>
      <c r="G1799" s="8">
        <v>0</v>
      </c>
      <c r="H1799" s="9">
        <f t="shared" si="144"/>
        <v>0</v>
      </c>
      <c r="I1799" s="9">
        <v>2005</v>
      </c>
      <c r="J1799" s="9">
        <v>2005</v>
      </c>
      <c r="K1799" s="10">
        <v>2005</v>
      </c>
    </row>
    <row r="1800" spans="1:11" ht="15.75">
      <c r="A1800" s="5">
        <v>45786</v>
      </c>
      <c r="B1800" s="6" t="s">
        <v>12</v>
      </c>
      <c r="C1800" s="7">
        <v>13.55</v>
      </c>
      <c r="D1800" s="7">
        <v>9.4499999999999993</v>
      </c>
      <c r="E1800" s="8">
        <v>0</v>
      </c>
      <c r="F1800" s="8">
        <v>0</v>
      </c>
      <c r="G1800" s="8">
        <v>0</v>
      </c>
      <c r="H1800" s="9">
        <f t="shared" si="144"/>
        <v>0</v>
      </c>
      <c r="I1800" s="9">
        <v>0</v>
      </c>
      <c r="J1800" s="9">
        <v>0</v>
      </c>
      <c r="K1800" s="10">
        <v>5358</v>
      </c>
    </row>
    <row r="1801" spans="1:11" ht="15.75">
      <c r="A1801" s="5">
        <v>45787</v>
      </c>
      <c r="B1801" s="6" t="s">
        <v>12</v>
      </c>
      <c r="C1801" s="7">
        <v>13.63</v>
      </c>
      <c r="D1801" s="7">
        <v>9.6999999999999993</v>
      </c>
      <c r="E1801" s="8">
        <v>0</v>
      </c>
      <c r="F1801" s="8">
        <v>0</v>
      </c>
      <c r="G1801" s="8">
        <v>0</v>
      </c>
      <c r="H1801" s="9">
        <f t="shared" si="144"/>
        <v>0</v>
      </c>
      <c r="I1801" s="9">
        <v>0</v>
      </c>
      <c r="J1801" s="9">
        <v>0</v>
      </c>
      <c r="K1801" s="9">
        <v>4100</v>
      </c>
    </row>
    <row r="1802" spans="1:11" ht="15.75">
      <c r="A1802" s="5">
        <v>45788</v>
      </c>
      <c r="B1802" s="6" t="s">
        <v>12</v>
      </c>
      <c r="C1802" s="7">
        <v>13.7</v>
      </c>
      <c r="D1802" s="7">
        <v>9.9499999999999993</v>
      </c>
      <c r="E1802" s="8">
        <v>0</v>
      </c>
      <c r="F1802" s="6">
        <v>0</v>
      </c>
      <c r="G1802" s="8">
        <v>0</v>
      </c>
      <c r="H1802" s="9">
        <f t="shared" si="144"/>
        <v>0</v>
      </c>
      <c r="I1802" s="9">
        <v>0</v>
      </c>
      <c r="J1802" s="9">
        <v>0</v>
      </c>
      <c r="K1802" s="10">
        <v>4362</v>
      </c>
    </row>
    <row r="1803" spans="1:11" ht="15.75">
      <c r="A1803" s="5">
        <v>45789</v>
      </c>
      <c r="B1803" s="6" t="s">
        <v>12</v>
      </c>
      <c r="C1803" s="7">
        <v>13.78</v>
      </c>
      <c r="D1803" s="7">
        <v>10.199999999999999</v>
      </c>
      <c r="E1803" s="8">
        <v>0</v>
      </c>
      <c r="F1803" s="6">
        <v>0</v>
      </c>
      <c r="G1803" s="8">
        <v>0</v>
      </c>
      <c r="H1803" s="9">
        <f t="shared" si="144"/>
        <v>0</v>
      </c>
      <c r="I1803" s="9">
        <v>0</v>
      </c>
      <c r="J1803" s="9">
        <v>0</v>
      </c>
      <c r="K1803" s="10">
        <v>4624</v>
      </c>
    </row>
    <row r="1804" spans="1:11" ht="15.75">
      <c r="A1804" s="5">
        <v>45790</v>
      </c>
      <c r="B1804" s="6" t="s">
        <v>12</v>
      </c>
      <c r="C1804" s="7">
        <v>13.85</v>
      </c>
      <c r="D1804" s="7">
        <v>10.45</v>
      </c>
      <c r="E1804" s="8">
        <v>0</v>
      </c>
      <c r="F1804" s="6">
        <v>0</v>
      </c>
      <c r="G1804" s="8">
        <v>0</v>
      </c>
      <c r="H1804" s="9">
        <f t="shared" si="144"/>
        <v>0</v>
      </c>
      <c r="I1804" s="9">
        <v>0</v>
      </c>
      <c r="J1804" s="9">
        <v>0</v>
      </c>
      <c r="K1804" s="10">
        <v>4433</v>
      </c>
    </row>
    <row r="1805" spans="1:11" ht="15.75">
      <c r="A1805" s="5">
        <v>45791</v>
      </c>
      <c r="B1805" s="6" t="s">
        <v>12</v>
      </c>
      <c r="C1805" s="7">
        <v>13.85</v>
      </c>
      <c r="D1805" s="7">
        <v>10.45</v>
      </c>
      <c r="E1805" s="8">
        <v>0</v>
      </c>
      <c r="F1805" s="6">
        <v>0</v>
      </c>
      <c r="G1805" s="8">
        <v>0</v>
      </c>
      <c r="H1805" s="9">
        <f t="shared" si="144"/>
        <v>0</v>
      </c>
      <c r="I1805" s="9">
        <v>1869</v>
      </c>
      <c r="J1805" s="9">
        <v>1869</v>
      </c>
      <c r="K1805" s="10">
        <v>1869</v>
      </c>
    </row>
    <row r="1806" spans="1:11" ht="15.75">
      <c r="A1806" s="5">
        <v>45792</v>
      </c>
      <c r="B1806" s="6" t="s">
        <v>12</v>
      </c>
      <c r="C1806" s="7">
        <v>13.85</v>
      </c>
      <c r="D1806" s="7">
        <v>10.45</v>
      </c>
      <c r="E1806" s="8">
        <v>0</v>
      </c>
      <c r="F1806" s="6">
        <v>0</v>
      </c>
      <c r="G1806" s="8">
        <v>0</v>
      </c>
      <c r="H1806" s="9">
        <f t="shared" si="144"/>
        <v>0</v>
      </c>
      <c r="I1806" s="9">
        <v>1867</v>
      </c>
      <c r="J1806" s="9">
        <v>1867</v>
      </c>
      <c r="K1806" s="10">
        <v>1867</v>
      </c>
    </row>
    <row r="1807" spans="1:11" ht="15.75">
      <c r="A1807" s="5">
        <v>45793</v>
      </c>
      <c r="B1807" s="6" t="s">
        <v>12</v>
      </c>
      <c r="C1807" s="7">
        <v>13.89</v>
      </c>
      <c r="D1807" s="7">
        <v>10.55</v>
      </c>
      <c r="E1807" s="8">
        <v>0</v>
      </c>
      <c r="F1807" s="6">
        <v>0</v>
      </c>
      <c r="G1807" s="8">
        <v>0</v>
      </c>
      <c r="H1807" s="9">
        <f t="shared" si="144"/>
        <v>0</v>
      </c>
      <c r="I1807" s="9">
        <v>1876</v>
      </c>
      <c r="J1807" s="9">
        <v>1876</v>
      </c>
      <c r="K1807" s="10">
        <v>2184</v>
      </c>
    </row>
    <row r="1808" spans="1:11" ht="15.75">
      <c r="A1808" s="5">
        <v>45794</v>
      </c>
      <c r="B1808" s="6" t="s">
        <v>12</v>
      </c>
      <c r="C1808" s="7">
        <v>13.9</v>
      </c>
      <c r="D1808" s="7">
        <v>10.6</v>
      </c>
      <c r="E1808" s="8">
        <v>0</v>
      </c>
      <c r="F1808" s="6">
        <v>0</v>
      </c>
      <c r="G1808" s="6">
        <v>0</v>
      </c>
      <c r="H1808" s="9">
        <f t="shared" si="144"/>
        <v>0</v>
      </c>
      <c r="I1808" s="9">
        <v>2820</v>
      </c>
      <c r="J1808" s="9">
        <v>2820</v>
      </c>
      <c r="K1808" s="10">
        <v>2898</v>
      </c>
    </row>
    <row r="1809" spans="1:11" ht="15.75">
      <c r="A1809" s="5">
        <v>45795</v>
      </c>
      <c r="B1809" s="6" t="s">
        <v>12</v>
      </c>
      <c r="C1809" s="7">
        <v>13.92</v>
      </c>
      <c r="D1809" s="7">
        <v>10.65</v>
      </c>
      <c r="E1809" s="8">
        <v>0</v>
      </c>
      <c r="F1809" s="6">
        <v>0</v>
      </c>
      <c r="G1809" s="6">
        <v>0</v>
      </c>
      <c r="H1809" s="9">
        <f t="shared" si="144"/>
        <v>0</v>
      </c>
      <c r="I1809" s="9">
        <v>5232</v>
      </c>
      <c r="J1809" s="9">
        <v>5232</v>
      </c>
      <c r="K1809" s="9">
        <v>5310</v>
      </c>
    </row>
    <row r="1810" spans="1:11" ht="15.75">
      <c r="A1810" s="5">
        <v>45796</v>
      </c>
      <c r="B1810" s="6" t="s">
        <v>12</v>
      </c>
      <c r="C1810" s="7">
        <v>13.81</v>
      </c>
      <c r="D1810" s="7">
        <v>10.3</v>
      </c>
      <c r="E1810" s="8">
        <v>0</v>
      </c>
      <c r="F1810" s="6">
        <v>0</v>
      </c>
      <c r="G1810" s="6">
        <v>0</v>
      </c>
      <c r="H1810" s="9">
        <f t="shared" si="144"/>
        <v>0</v>
      </c>
      <c r="I1810" s="9">
        <v>8101</v>
      </c>
      <c r="J1810" s="9">
        <v>8101</v>
      </c>
      <c r="K1810" s="10">
        <v>7329</v>
      </c>
    </row>
    <row r="1811" spans="1:11" ht="15.75">
      <c r="A1811" s="5">
        <v>45797</v>
      </c>
      <c r="B1811" s="6" t="s">
        <v>12</v>
      </c>
      <c r="C1811" s="7">
        <v>13.72</v>
      </c>
      <c r="D1811" s="7">
        <v>10</v>
      </c>
      <c r="E1811" s="8">
        <v>0</v>
      </c>
      <c r="F1811" s="8">
        <v>0</v>
      </c>
      <c r="G1811" s="8">
        <v>0</v>
      </c>
      <c r="H1811" s="9">
        <f t="shared" si="144"/>
        <v>0</v>
      </c>
      <c r="I1811" s="9">
        <v>7960</v>
      </c>
      <c r="J1811" s="9">
        <v>7960</v>
      </c>
      <c r="K1811" s="10">
        <v>7260</v>
      </c>
    </row>
    <row r="1812" spans="1:11" ht="15.75">
      <c r="A1812" s="5">
        <v>45798</v>
      </c>
      <c r="B1812" s="6" t="s">
        <v>12</v>
      </c>
      <c r="C1812" s="7">
        <v>13.64</v>
      </c>
      <c r="D1812" s="7">
        <v>9.75</v>
      </c>
      <c r="E1812" s="8">
        <v>0</v>
      </c>
      <c r="F1812" s="8">
        <v>0</v>
      </c>
      <c r="G1812" s="6">
        <v>0</v>
      </c>
      <c r="H1812" s="9">
        <f t="shared" si="144"/>
        <v>0</v>
      </c>
      <c r="I1812" s="9">
        <v>7848</v>
      </c>
      <c r="J1812" s="9">
        <v>7848</v>
      </c>
      <c r="K1812" s="9">
        <v>7231</v>
      </c>
    </row>
    <row r="1813" spans="1:11" ht="15.75">
      <c r="A1813" s="5">
        <v>45799</v>
      </c>
      <c r="B1813" s="6" t="s">
        <v>12</v>
      </c>
      <c r="C1813" s="7">
        <v>13.61</v>
      </c>
      <c r="D1813" s="7">
        <v>9.65</v>
      </c>
      <c r="E1813" s="8">
        <v>0</v>
      </c>
      <c r="F1813" s="8">
        <v>0</v>
      </c>
      <c r="G1813" s="6">
        <v>0</v>
      </c>
      <c r="H1813" s="9">
        <f t="shared" si="144"/>
        <v>0</v>
      </c>
      <c r="I1813" s="9">
        <v>7793</v>
      </c>
      <c r="J1813" s="9">
        <v>7793</v>
      </c>
      <c r="K1813" s="9">
        <v>7561</v>
      </c>
    </row>
    <row r="1814" spans="1:11" ht="15.75">
      <c r="A1814" s="5">
        <v>45800</v>
      </c>
      <c r="B1814" s="6" t="s">
        <v>12</v>
      </c>
      <c r="C1814" s="7">
        <v>13.69</v>
      </c>
      <c r="D1814" s="7">
        <v>9.9</v>
      </c>
      <c r="E1814" s="7">
        <v>0</v>
      </c>
      <c r="F1814" s="8">
        <v>0</v>
      </c>
      <c r="G1814" s="8">
        <v>0</v>
      </c>
      <c r="H1814" s="6">
        <v>0</v>
      </c>
      <c r="I1814" s="9">
        <v>7885</v>
      </c>
      <c r="J1814" s="9">
        <v>7885</v>
      </c>
      <c r="K1814" s="9">
        <v>8502</v>
      </c>
    </row>
    <row r="1815" spans="1:11" ht="15.75">
      <c r="A1815" s="5">
        <v>45801</v>
      </c>
      <c r="B1815" s="6" t="s">
        <v>12</v>
      </c>
      <c r="C1815" s="7">
        <v>13.79</v>
      </c>
      <c r="D1815" s="7">
        <v>10.25</v>
      </c>
      <c r="E1815" s="8">
        <v>0</v>
      </c>
      <c r="F1815" s="8">
        <v>0</v>
      </c>
      <c r="G1815" s="6">
        <v>0</v>
      </c>
      <c r="H1815" s="9">
        <f t="shared" si="144"/>
        <v>0</v>
      </c>
      <c r="I1815" s="9">
        <v>8059</v>
      </c>
      <c r="J1815" s="9">
        <v>8059</v>
      </c>
      <c r="K1815" s="9">
        <v>8831</v>
      </c>
    </row>
    <row r="1816" spans="1:11" ht="15.75">
      <c r="A1816" s="5">
        <v>45802</v>
      </c>
      <c r="B1816" s="6" t="s">
        <v>12</v>
      </c>
      <c r="C1816" s="7">
        <v>13.85</v>
      </c>
      <c r="D1816" s="7">
        <v>10.45</v>
      </c>
      <c r="E1816" s="8">
        <v>0</v>
      </c>
      <c r="F1816" s="8">
        <v>0</v>
      </c>
      <c r="G1816" s="6">
        <v>0</v>
      </c>
      <c r="H1816" s="9">
        <f t="shared" si="144"/>
        <v>0</v>
      </c>
      <c r="I1816" s="9">
        <v>10823</v>
      </c>
      <c r="J1816" s="9">
        <v>10823</v>
      </c>
      <c r="K1816" s="9">
        <v>11286</v>
      </c>
    </row>
    <row r="1817" spans="1:11" ht="15.75">
      <c r="A1817" s="5">
        <v>45803</v>
      </c>
      <c r="B1817" s="6" t="s">
        <v>12</v>
      </c>
      <c r="C1817" s="7">
        <v>13.87</v>
      </c>
      <c r="D1817" s="7">
        <v>10.5</v>
      </c>
      <c r="E1817" s="8">
        <v>0</v>
      </c>
      <c r="F1817" s="8">
        <v>0</v>
      </c>
      <c r="G1817" s="6">
        <v>0</v>
      </c>
      <c r="H1817" s="9">
        <f t="shared" si="144"/>
        <v>0</v>
      </c>
      <c r="I1817" s="9">
        <v>10821</v>
      </c>
      <c r="J1817" s="9">
        <v>10821</v>
      </c>
      <c r="K1817" s="9">
        <v>10975</v>
      </c>
    </row>
    <row r="1818" spans="1:11" ht="15.75">
      <c r="A1818" s="5">
        <v>45804</v>
      </c>
      <c r="B1818" s="6" t="s">
        <v>12</v>
      </c>
      <c r="C1818" s="7">
        <v>13.87</v>
      </c>
      <c r="D1818" s="7">
        <v>10.5</v>
      </c>
      <c r="E1818" s="8">
        <v>0</v>
      </c>
      <c r="F1818" s="8">
        <v>0</v>
      </c>
      <c r="G1818" s="6">
        <v>0</v>
      </c>
      <c r="H1818" s="9">
        <f t="shared" si="144"/>
        <v>0</v>
      </c>
      <c r="I1818" s="9">
        <v>10821</v>
      </c>
      <c r="J1818" s="9">
        <v>10821</v>
      </c>
      <c r="K1818" s="9">
        <v>10821</v>
      </c>
    </row>
    <row r="1819" spans="1:11" ht="15.75">
      <c r="A1819" s="5">
        <v>45805</v>
      </c>
      <c r="B1819" s="6" t="s">
        <v>12</v>
      </c>
      <c r="C1819" s="7">
        <v>13.84</v>
      </c>
      <c r="D1819" s="7">
        <v>10.4</v>
      </c>
      <c r="E1819" s="8">
        <v>0</v>
      </c>
      <c r="F1819" s="8">
        <v>0</v>
      </c>
      <c r="G1819" s="6">
        <v>0</v>
      </c>
      <c r="H1819" s="9">
        <f t="shared" si="144"/>
        <v>0</v>
      </c>
      <c r="I1819" s="9">
        <v>10778</v>
      </c>
      <c r="J1819" s="9">
        <v>10778</v>
      </c>
      <c r="K1819" s="9">
        <v>10546</v>
      </c>
    </row>
    <row r="1820" spans="1:11" ht="15.75">
      <c r="A1820" s="5">
        <v>45806</v>
      </c>
      <c r="B1820" s="6" t="s">
        <v>12</v>
      </c>
      <c r="C1820" s="7">
        <v>13.81</v>
      </c>
      <c r="D1820" s="7">
        <v>10.3</v>
      </c>
      <c r="E1820" s="8">
        <v>0</v>
      </c>
      <c r="F1820" s="8">
        <v>0</v>
      </c>
      <c r="G1820" s="6">
        <v>0</v>
      </c>
      <c r="H1820" s="9">
        <f t="shared" si="144"/>
        <v>0</v>
      </c>
      <c r="I1820" s="9">
        <v>10733</v>
      </c>
      <c r="J1820" s="9">
        <v>10733</v>
      </c>
      <c r="K1820" s="9">
        <v>10501</v>
      </c>
    </row>
    <row r="1821" spans="1:11" ht="15.75">
      <c r="A1821" s="5">
        <v>45807</v>
      </c>
      <c r="B1821" s="6" t="s">
        <v>12</v>
      </c>
      <c r="C1821" s="7">
        <v>13.78</v>
      </c>
      <c r="D1821" s="7">
        <v>10.199999999999999</v>
      </c>
      <c r="E1821" s="8">
        <v>0</v>
      </c>
      <c r="F1821" s="8">
        <v>0</v>
      </c>
      <c r="G1821" s="6">
        <v>0</v>
      </c>
      <c r="H1821" s="9">
        <f t="shared" si="144"/>
        <v>0</v>
      </c>
      <c r="I1821" s="9">
        <v>10676</v>
      </c>
      <c r="J1821" s="9">
        <v>10676</v>
      </c>
      <c r="K1821" s="9">
        <v>10444</v>
      </c>
    </row>
    <row r="1822" spans="1:11" ht="15.75">
      <c r="A1822" s="5">
        <v>45808</v>
      </c>
      <c r="B1822" s="6" t="s">
        <v>12</v>
      </c>
      <c r="C1822" s="7">
        <v>13.78</v>
      </c>
      <c r="D1822" s="7">
        <v>10.199999999999999</v>
      </c>
      <c r="E1822" s="8">
        <v>0</v>
      </c>
      <c r="F1822" s="8">
        <v>0</v>
      </c>
      <c r="G1822" s="6">
        <v>0</v>
      </c>
      <c r="H1822" s="9">
        <f t="shared" si="144"/>
        <v>0</v>
      </c>
      <c r="I1822" s="9">
        <v>10678</v>
      </c>
      <c r="J1822" s="9">
        <v>10678</v>
      </c>
      <c r="K1822" s="9">
        <v>10678</v>
      </c>
    </row>
    <row r="1823" spans="1:11" ht="15.75">
      <c r="A1823" s="2" t="s">
        <v>13</v>
      </c>
      <c r="B1823" s="2"/>
      <c r="C1823" s="2"/>
      <c r="D1823" s="2"/>
      <c r="E1823" s="11">
        <f t="shared" ref="E1823:K1823" si="145">SUM(E1792:E1822)</f>
        <v>0</v>
      </c>
      <c r="F1823" s="11">
        <f t="shared" si="145"/>
        <v>0</v>
      </c>
      <c r="G1823" s="11">
        <f t="shared" si="145"/>
        <v>0</v>
      </c>
      <c r="H1823" s="11">
        <f t="shared" si="145"/>
        <v>0</v>
      </c>
      <c r="I1823" s="11">
        <f t="shared" si="145"/>
        <v>152410</v>
      </c>
      <c r="J1823" s="11">
        <f t="shared" si="145"/>
        <v>152410</v>
      </c>
      <c r="K1823" s="11">
        <f t="shared" si="145"/>
        <v>175664</v>
      </c>
    </row>
    <row r="1824" spans="1:11" ht="15.75">
      <c r="A1824" s="12"/>
      <c r="B1824" s="2"/>
      <c r="C1824" s="2"/>
      <c r="D1824" s="2"/>
      <c r="E1824" s="13">
        <f t="shared" ref="E1824:K1824" si="146">SUM(E1823/11575)</f>
        <v>0</v>
      </c>
      <c r="F1824" s="13">
        <f t="shared" si="146"/>
        <v>0</v>
      </c>
      <c r="G1824" s="13">
        <f t="shared" si="146"/>
        <v>0</v>
      </c>
      <c r="H1824" s="13">
        <f t="shared" si="146"/>
        <v>0</v>
      </c>
      <c r="I1824" s="13">
        <f t="shared" si="146"/>
        <v>13.167170626349892</v>
      </c>
      <c r="J1824" s="13">
        <f t="shared" si="146"/>
        <v>13.167170626349892</v>
      </c>
      <c r="K1824" s="13">
        <f t="shared" si="146"/>
        <v>15.176155507559395</v>
      </c>
    </row>
    <row r="1825" spans="1:11" ht="15.75">
      <c r="A1825" s="1" t="s">
        <v>73</v>
      </c>
      <c r="B1825" s="1"/>
      <c r="C1825" s="1"/>
      <c r="D1825" s="1"/>
      <c r="E1825" s="1"/>
      <c r="F1825" s="1"/>
      <c r="G1825" s="1"/>
      <c r="H1825" s="1"/>
      <c r="I1825" s="1"/>
      <c r="J1825" s="1"/>
      <c r="K1825" s="1"/>
    </row>
    <row r="1826" spans="1:11" ht="47.25">
      <c r="A1826" s="2" t="s">
        <v>1</v>
      </c>
      <c r="B1826" s="2" t="s">
        <v>2</v>
      </c>
      <c r="C1826" s="3" t="s">
        <v>18</v>
      </c>
      <c r="D1826" s="3" t="s">
        <v>4</v>
      </c>
      <c r="E1826" s="3" t="s">
        <v>5</v>
      </c>
      <c r="F1826" s="3" t="s">
        <v>6</v>
      </c>
      <c r="G1826" s="3" t="s">
        <v>7</v>
      </c>
      <c r="H1826" s="3" t="s">
        <v>8</v>
      </c>
      <c r="I1826" s="3" t="s">
        <v>9</v>
      </c>
      <c r="J1826" s="3" t="s">
        <v>19</v>
      </c>
      <c r="K1826" s="4" t="s">
        <v>11</v>
      </c>
    </row>
    <row r="1827" spans="1:11" ht="16.5" customHeight="1">
      <c r="A1827" s="5" t="s">
        <v>74</v>
      </c>
      <c r="B1827" s="6" t="s">
        <v>12</v>
      </c>
      <c r="C1827" s="7">
        <v>13.78</v>
      </c>
      <c r="D1827" s="7">
        <v>10.199999999999999</v>
      </c>
      <c r="E1827" s="8">
        <v>0</v>
      </c>
      <c r="F1827" s="8">
        <v>0</v>
      </c>
      <c r="G1827" s="6">
        <v>0</v>
      </c>
      <c r="H1827" s="14">
        <f>E1827+F1827+G1827</f>
        <v>0</v>
      </c>
      <c r="I1827" s="9">
        <v>10678</v>
      </c>
      <c r="J1827" s="9">
        <v>10678</v>
      </c>
      <c r="K1827" s="9">
        <v>10678</v>
      </c>
    </row>
    <row r="1828" spans="1:11" ht="15.75">
      <c r="A1828" s="5">
        <v>45810</v>
      </c>
      <c r="B1828" s="6" t="s">
        <v>12</v>
      </c>
      <c r="C1828" s="7">
        <v>13.84</v>
      </c>
      <c r="D1828" s="7">
        <v>10.4</v>
      </c>
      <c r="E1828" s="8">
        <v>200</v>
      </c>
      <c r="F1828" s="8">
        <v>100</v>
      </c>
      <c r="G1828" s="6">
        <v>200</v>
      </c>
      <c r="H1828" s="9">
        <f t="shared" ref="H1828:H1856" si="147">E1828+F1828+G1828</f>
        <v>500</v>
      </c>
      <c r="I1828" s="9">
        <v>10778</v>
      </c>
      <c r="J1828" s="9">
        <v>11278</v>
      </c>
      <c r="K1828" s="9">
        <v>11741</v>
      </c>
    </row>
    <row r="1829" spans="1:11" ht="15.75">
      <c r="A1829" s="5">
        <v>45811</v>
      </c>
      <c r="B1829" s="6" t="s">
        <v>12</v>
      </c>
      <c r="C1829" s="7">
        <v>13.99</v>
      </c>
      <c r="D1829" s="7">
        <v>10.9</v>
      </c>
      <c r="E1829" s="8">
        <v>200</v>
      </c>
      <c r="F1829" s="8">
        <v>100</v>
      </c>
      <c r="G1829" s="8">
        <v>200</v>
      </c>
      <c r="H1829" s="9">
        <f t="shared" si="147"/>
        <v>500</v>
      </c>
      <c r="I1829" s="9">
        <v>7437</v>
      </c>
      <c r="J1829" s="9">
        <v>7937</v>
      </c>
      <c r="K1829" s="10">
        <v>9095</v>
      </c>
    </row>
    <row r="1830" spans="1:11" ht="15.75">
      <c r="A1830" s="5">
        <v>45812</v>
      </c>
      <c r="B1830" s="6" t="s">
        <v>12</v>
      </c>
      <c r="C1830" s="7">
        <v>13.99</v>
      </c>
      <c r="D1830" s="7">
        <v>10.9</v>
      </c>
      <c r="E1830" s="8">
        <v>200</v>
      </c>
      <c r="F1830" s="8">
        <v>100</v>
      </c>
      <c r="G1830" s="8">
        <v>200</v>
      </c>
      <c r="H1830" s="9">
        <f t="shared" si="147"/>
        <v>500</v>
      </c>
      <c r="I1830" s="9">
        <v>9296</v>
      </c>
      <c r="J1830" s="9">
        <v>9796</v>
      </c>
      <c r="K1830" s="10">
        <v>9796</v>
      </c>
    </row>
    <row r="1831" spans="1:11" ht="15.75">
      <c r="A1831" s="5">
        <v>45813</v>
      </c>
      <c r="B1831" s="6" t="s">
        <v>12</v>
      </c>
      <c r="C1831" s="7">
        <v>13.99</v>
      </c>
      <c r="D1831" s="7">
        <v>10.9</v>
      </c>
      <c r="E1831" s="8">
        <v>200</v>
      </c>
      <c r="F1831" s="8">
        <v>100</v>
      </c>
      <c r="G1831" s="8">
        <v>200</v>
      </c>
      <c r="H1831" s="9">
        <f t="shared" si="147"/>
        <v>500</v>
      </c>
      <c r="I1831" s="9">
        <v>15755</v>
      </c>
      <c r="J1831" s="9">
        <v>16255</v>
      </c>
      <c r="K1831" s="10">
        <v>16255</v>
      </c>
    </row>
    <row r="1832" spans="1:11" ht="15.75">
      <c r="A1832" s="5">
        <v>45814</v>
      </c>
      <c r="B1832" s="6" t="s">
        <v>12</v>
      </c>
      <c r="C1832" s="7">
        <v>13.95</v>
      </c>
      <c r="D1832" s="7">
        <v>10.75</v>
      </c>
      <c r="E1832" s="8">
        <v>200</v>
      </c>
      <c r="F1832" s="8">
        <v>100</v>
      </c>
      <c r="G1832" s="8">
        <v>200</v>
      </c>
      <c r="H1832" s="9">
        <f t="shared" si="147"/>
        <v>500</v>
      </c>
      <c r="I1832" s="9">
        <v>15596</v>
      </c>
      <c r="J1832" s="9">
        <v>16096</v>
      </c>
      <c r="K1832" s="10">
        <v>15711</v>
      </c>
    </row>
    <row r="1833" spans="1:11" ht="15.75">
      <c r="A1833" s="5">
        <v>45815</v>
      </c>
      <c r="B1833" s="6" t="s">
        <v>12</v>
      </c>
      <c r="C1833" s="7">
        <v>13.99</v>
      </c>
      <c r="D1833" s="7">
        <v>10.9</v>
      </c>
      <c r="E1833" s="8">
        <v>200</v>
      </c>
      <c r="F1833" s="8">
        <v>100</v>
      </c>
      <c r="G1833" s="8">
        <v>200</v>
      </c>
      <c r="H1833" s="9">
        <f t="shared" si="147"/>
        <v>500</v>
      </c>
      <c r="I1833" s="9">
        <v>11117</v>
      </c>
      <c r="J1833" s="9">
        <v>11617</v>
      </c>
      <c r="K1833" s="10">
        <v>12002</v>
      </c>
    </row>
    <row r="1834" spans="1:11" ht="15.75">
      <c r="A1834" s="5">
        <v>45816</v>
      </c>
      <c r="B1834" s="6" t="s">
        <v>12</v>
      </c>
      <c r="C1834" s="7">
        <v>13.99</v>
      </c>
      <c r="D1834" s="7">
        <v>10.9</v>
      </c>
      <c r="E1834" s="8">
        <v>200</v>
      </c>
      <c r="F1834" s="8">
        <v>100</v>
      </c>
      <c r="G1834" s="8">
        <v>200</v>
      </c>
      <c r="H1834" s="9">
        <f t="shared" si="147"/>
        <v>500</v>
      </c>
      <c r="I1834" s="9">
        <v>16686</v>
      </c>
      <c r="J1834" s="9">
        <v>17186</v>
      </c>
      <c r="K1834" s="10">
        <v>17186</v>
      </c>
    </row>
    <row r="1835" spans="1:11" ht="15.75">
      <c r="A1835" s="5">
        <v>45817</v>
      </c>
      <c r="B1835" s="6" t="s">
        <v>12</v>
      </c>
      <c r="C1835" s="7">
        <v>13.99</v>
      </c>
      <c r="D1835" s="7">
        <v>10.9</v>
      </c>
      <c r="E1835" s="8">
        <v>200</v>
      </c>
      <c r="F1835" s="8">
        <v>100</v>
      </c>
      <c r="G1835" s="8">
        <v>500</v>
      </c>
      <c r="H1835" s="9">
        <f t="shared" si="147"/>
        <v>800</v>
      </c>
      <c r="I1835" s="9">
        <v>22225</v>
      </c>
      <c r="J1835" s="9">
        <v>23025</v>
      </c>
      <c r="K1835" s="10">
        <v>23025</v>
      </c>
    </row>
    <row r="1836" spans="1:11" ht="15.75">
      <c r="A1836" s="5">
        <v>45818</v>
      </c>
      <c r="B1836" s="6" t="s">
        <v>12</v>
      </c>
      <c r="C1836" s="7">
        <v>13.87</v>
      </c>
      <c r="D1836" s="7">
        <v>10.5</v>
      </c>
      <c r="E1836" s="8">
        <v>700</v>
      </c>
      <c r="F1836" s="8">
        <v>200</v>
      </c>
      <c r="G1836" s="8">
        <v>2500</v>
      </c>
      <c r="H1836" s="9">
        <f t="shared" si="147"/>
        <v>3400</v>
      </c>
      <c r="I1836" s="9">
        <v>21716</v>
      </c>
      <c r="J1836" s="9">
        <v>25116</v>
      </c>
      <c r="K1836" s="9">
        <v>24190</v>
      </c>
    </row>
    <row r="1837" spans="1:11" ht="15.75">
      <c r="A1837" s="5">
        <v>45819</v>
      </c>
      <c r="B1837" s="6" t="s">
        <v>12</v>
      </c>
      <c r="C1837" s="7">
        <v>13.81</v>
      </c>
      <c r="D1837" s="7">
        <v>10.3</v>
      </c>
      <c r="E1837" s="8">
        <v>1200</v>
      </c>
      <c r="F1837" s="6">
        <v>250</v>
      </c>
      <c r="G1837" s="8">
        <v>3000</v>
      </c>
      <c r="H1837" s="9">
        <f t="shared" si="147"/>
        <v>4450</v>
      </c>
      <c r="I1837" s="9">
        <v>16106</v>
      </c>
      <c r="J1837" s="9">
        <v>20556</v>
      </c>
      <c r="K1837" s="10">
        <v>20093</v>
      </c>
    </row>
    <row r="1838" spans="1:11" ht="15.75">
      <c r="A1838" s="5">
        <v>45820</v>
      </c>
      <c r="B1838" s="6" t="s">
        <v>12</v>
      </c>
      <c r="C1838" s="7">
        <v>13.76</v>
      </c>
      <c r="D1838" s="7">
        <v>10.15</v>
      </c>
      <c r="E1838" s="8">
        <v>1400</v>
      </c>
      <c r="F1838" s="6">
        <v>250</v>
      </c>
      <c r="G1838" s="8">
        <v>3000</v>
      </c>
      <c r="H1838" s="9">
        <f t="shared" si="147"/>
        <v>4650</v>
      </c>
      <c r="I1838" s="9">
        <v>15980</v>
      </c>
      <c r="J1838" s="9">
        <v>20630</v>
      </c>
      <c r="K1838" s="10">
        <v>20245</v>
      </c>
    </row>
    <row r="1839" spans="1:11" ht="15.75">
      <c r="A1839" s="5">
        <v>45821</v>
      </c>
      <c r="B1839" s="6" t="s">
        <v>12</v>
      </c>
      <c r="C1839" s="7">
        <v>13.72</v>
      </c>
      <c r="D1839" s="7">
        <v>10</v>
      </c>
      <c r="E1839" s="8">
        <v>1800</v>
      </c>
      <c r="F1839" s="6">
        <v>250</v>
      </c>
      <c r="G1839" s="8">
        <v>3000</v>
      </c>
      <c r="H1839" s="9">
        <f t="shared" si="147"/>
        <v>5050</v>
      </c>
      <c r="I1839" s="9">
        <v>15828</v>
      </c>
      <c r="J1839" s="9">
        <v>20878</v>
      </c>
      <c r="K1839" s="10">
        <v>20569</v>
      </c>
    </row>
    <row r="1840" spans="1:11" ht="15.75">
      <c r="A1840" s="5">
        <v>45822</v>
      </c>
      <c r="B1840" s="6" t="s">
        <v>12</v>
      </c>
      <c r="C1840" s="7">
        <v>13.73</v>
      </c>
      <c r="D1840" s="7">
        <v>10.050000000000001</v>
      </c>
      <c r="E1840" s="8">
        <v>2000</v>
      </c>
      <c r="F1840" s="6">
        <v>250</v>
      </c>
      <c r="G1840" s="8">
        <v>3000</v>
      </c>
      <c r="H1840" s="9">
        <f t="shared" si="147"/>
        <v>5250</v>
      </c>
      <c r="I1840" s="9">
        <v>15845</v>
      </c>
      <c r="J1840" s="9">
        <v>21095</v>
      </c>
      <c r="K1840" s="10">
        <v>21176</v>
      </c>
    </row>
    <row r="1841" spans="1:11" ht="15.75">
      <c r="A1841" s="5">
        <v>45823</v>
      </c>
      <c r="B1841" s="6" t="s">
        <v>12</v>
      </c>
      <c r="C1841" s="7">
        <v>13.76</v>
      </c>
      <c r="D1841" s="7">
        <v>10.15</v>
      </c>
      <c r="E1841" s="8">
        <v>2300</v>
      </c>
      <c r="F1841" s="6">
        <v>700</v>
      </c>
      <c r="G1841" s="8">
        <v>3000</v>
      </c>
      <c r="H1841" s="9">
        <f t="shared" si="147"/>
        <v>6000</v>
      </c>
      <c r="I1841" s="9">
        <v>15975</v>
      </c>
      <c r="J1841" s="9">
        <v>21975</v>
      </c>
      <c r="K1841" s="10">
        <v>22202</v>
      </c>
    </row>
    <row r="1842" spans="1:11" ht="15.75">
      <c r="A1842" s="5">
        <v>45824</v>
      </c>
      <c r="B1842" s="6" t="s">
        <v>12</v>
      </c>
      <c r="C1842" s="7">
        <v>13.73</v>
      </c>
      <c r="D1842" s="7">
        <v>10.050000000000001</v>
      </c>
      <c r="E1842" s="8">
        <v>2800</v>
      </c>
      <c r="F1842" s="6">
        <v>700</v>
      </c>
      <c r="G1842" s="8">
        <v>3000</v>
      </c>
      <c r="H1842" s="9">
        <f t="shared" si="147"/>
        <v>6500</v>
      </c>
      <c r="I1842" s="9">
        <v>14753</v>
      </c>
      <c r="J1842" s="9">
        <v>21253</v>
      </c>
      <c r="K1842" s="10">
        <v>21026</v>
      </c>
    </row>
    <row r="1843" spans="1:11" ht="15.75">
      <c r="A1843" s="5">
        <v>45825</v>
      </c>
      <c r="B1843" s="6" t="s">
        <v>12</v>
      </c>
      <c r="C1843" s="7">
        <v>13.67</v>
      </c>
      <c r="D1843" s="7">
        <v>9.85</v>
      </c>
      <c r="E1843" s="8">
        <v>3300</v>
      </c>
      <c r="F1843" s="6">
        <v>1200</v>
      </c>
      <c r="G1843" s="6">
        <v>3500</v>
      </c>
      <c r="H1843" s="9">
        <f t="shared" si="147"/>
        <v>8000</v>
      </c>
      <c r="I1843" s="9">
        <v>14604</v>
      </c>
      <c r="J1843" s="9">
        <v>22604</v>
      </c>
      <c r="K1843" s="10">
        <v>22136</v>
      </c>
    </row>
    <row r="1844" spans="1:11" ht="15.75">
      <c r="A1844" s="5">
        <v>45826</v>
      </c>
      <c r="B1844" s="6" t="s">
        <v>12</v>
      </c>
      <c r="C1844" s="7">
        <v>13.63</v>
      </c>
      <c r="D1844" s="7">
        <v>9.6999999999999993</v>
      </c>
      <c r="E1844" s="8">
        <v>3300</v>
      </c>
      <c r="F1844" s="6">
        <v>1200</v>
      </c>
      <c r="G1844" s="6">
        <v>4000</v>
      </c>
      <c r="H1844" s="9">
        <f t="shared" si="147"/>
        <v>8500</v>
      </c>
      <c r="I1844" s="9">
        <v>11937</v>
      </c>
      <c r="J1844" s="9">
        <v>20437</v>
      </c>
      <c r="K1844" s="9">
        <v>20128</v>
      </c>
    </row>
    <row r="1845" spans="1:11" ht="15.75">
      <c r="A1845" s="5">
        <v>45827</v>
      </c>
      <c r="B1845" s="6" t="s">
        <v>12</v>
      </c>
      <c r="C1845" s="7">
        <v>13.6</v>
      </c>
      <c r="D1845" s="7">
        <v>9.6</v>
      </c>
      <c r="E1845" s="8">
        <v>3300</v>
      </c>
      <c r="F1845" s="6">
        <v>1800</v>
      </c>
      <c r="G1845" s="6">
        <v>4500</v>
      </c>
      <c r="H1845" s="9">
        <f t="shared" si="147"/>
        <v>9600</v>
      </c>
      <c r="I1845" s="9">
        <v>5261</v>
      </c>
      <c r="J1845" s="9">
        <v>14861</v>
      </c>
      <c r="K1845" s="10">
        <v>14629</v>
      </c>
    </row>
    <row r="1846" spans="1:11" ht="15.75">
      <c r="A1846" s="5">
        <v>45828</v>
      </c>
      <c r="B1846" s="6" t="s">
        <v>12</v>
      </c>
      <c r="C1846" s="7">
        <v>13.6</v>
      </c>
      <c r="D1846" s="7">
        <v>9.6</v>
      </c>
      <c r="E1846" s="8">
        <v>3600</v>
      </c>
      <c r="F1846" s="8">
        <v>1800</v>
      </c>
      <c r="G1846" s="8">
        <v>5500</v>
      </c>
      <c r="H1846" s="9">
        <f t="shared" si="147"/>
        <v>10900</v>
      </c>
      <c r="I1846" s="9">
        <v>2671</v>
      </c>
      <c r="J1846" s="9">
        <v>13571</v>
      </c>
      <c r="K1846" s="10">
        <v>13571</v>
      </c>
    </row>
    <row r="1847" spans="1:11" ht="15.75">
      <c r="A1847" s="5">
        <v>45829</v>
      </c>
      <c r="B1847" s="6" t="s">
        <v>12</v>
      </c>
      <c r="C1847" s="7">
        <v>13.57</v>
      </c>
      <c r="D1847" s="7">
        <v>9.5</v>
      </c>
      <c r="E1847" s="8">
        <v>3800</v>
      </c>
      <c r="F1847" s="8">
        <v>2000</v>
      </c>
      <c r="G1847" s="6">
        <v>6000</v>
      </c>
      <c r="H1847" s="9">
        <f t="shared" si="147"/>
        <v>11800</v>
      </c>
      <c r="I1847" s="9">
        <v>0</v>
      </c>
      <c r="J1847" s="9">
        <v>11800</v>
      </c>
      <c r="K1847" s="9">
        <v>11569</v>
      </c>
    </row>
    <row r="1848" spans="1:11" ht="15.75">
      <c r="A1848" s="5">
        <v>45830</v>
      </c>
      <c r="B1848" s="6" t="s">
        <v>12</v>
      </c>
      <c r="C1848" s="7">
        <v>13.5</v>
      </c>
      <c r="D1848" s="7">
        <v>9.3000000000000007</v>
      </c>
      <c r="E1848" s="8">
        <v>3800</v>
      </c>
      <c r="F1848" s="8">
        <v>2300</v>
      </c>
      <c r="G1848" s="6">
        <v>6000</v>
      </c>
      <c r="H1848" s="9">
        <f t="shared" si="147"/>
        <v>12100</v>
      </c>
      <c r="I1848" s="9">
        <v>0</v>
      </c>
      <c r="J1848" s="9">
        <v>12100</v>
      </c>
      <c r="K1848" s="9">
        <v>11561</v>
      </c>
    </row>
    <row r="1849" spans="1:11" ht="15.75">
      <c r="A1849" s="5">
        <v>45831</v>
      </c>
      <c r="B1849" s="6" t="s">
        <v>12</v>
      </c>
      <c r="C1849" s="7">
        <v>13.44</v>
      </c>
      <c r="D1849" s="7">
        <v>9.1</v>
      </c>
      <c r="E1849" s="8">
        <v>3800</v>
      </c>
      <c r="F1849" s="8">
        <v>2300</v>
      </c>
      <c r="G1849" s="8">
        <v>6000</v>
      </c>
      <c r="H1849" s="9">
        <f t="shared" si="147"/>
        <v>12100</v>
      </c>
      <c r="I1849" s="9">
        <v>0</v>
      </c>
      <c r="J1849" s="9">
        <v>12100</v>
      </c>
      <c r="K1849" s="9">
        <v>11637</v>
      </c>
    </row>
    <row r="1850" spans="1:11" ht="15.75">
      <c r="A1850" s="5">
        <v>45832</v>
      </c>
      <c r="B1850" s="6" t="s">
        <v>12</v>
      </c>
      <c r="C1850" s="7">
        <v>13.43</v>
      </c>
      <c r="D1850" s="7">
        <v>9.0500000000000007</v>
      </c>
      <c r="E1850" s="8">
        <v>3800</v>
      </c>
      <c r="F1850" s="8">
        <v>2000</v>
      </c>
      <c r="G1850" s="6">
        <v>6000</v>
      </c>
      <c r="H1850" s="9">
        <f t="shared" si="147"/>
        <v>11800</v>
      </c>
      <c r="I1850" s="9">
        <v>0</v>
      </c>
      <c r="J1850" s="9">
        <v>11800</v>
      </c>
      <c r="K1850" s="9">
        <v>11722</v>
      </c>
    </row>
    <row r="1851" spans="1:11" ht="15.75">
      <c r="A1851" s="5">
        <v>45833</v>
      </c>
      <c r="B1851" s="6" t="s">
        <v>12</v>
      </c>
      <c r="C1851" s="7">
        <v>13.46</v>
      </c>
      <c r="D1851" s="7">
        <v>9.15</v>
      </c>
      <c r="E1851" s="8">
        <v>3800</v>
      </c>
      <c r="F1851" s="8">
        <v>2400</v>
      </c>
      <c r="G1851" s="6">
        <v>6000</v>
      </c>
      <c r="H1851" s="9">
        <f t="shared" si="147"/>
        <v>12200</v>
      </c>
      <c r="I1851" s="9">
        <v>0</v>
      </c>
      <c r="J1851" s="9">
        <v>12200</v>
      </c>
      <c r="K1851" s="9">
        <v>12432</v>
      </c>
    </row>
    <row r="1852" spans="1:11" ht="15.75">
      <c r="A1852" s="5">
        <v>45834</v>
      </c>
      <c r="B1852" s="6" t="s">
        <v>12</v>
      </c>
      <c r="C1852" s="7">
        <v>13.47</v>
      </c>
      <c r="D1852" s="7">
        <v>9.1999999999999993</v>
      </c>
      <c r="E1852" s="8">
        <v>3300</v>
      </c>
      <c r="F1852" s="8">
        <v>2400</v>
      </c>
      <c r="G1852" s="6">
        <v>6000</v>
      </c>
      <c r="H1852" s="9">
        <f t="shared" si="147"/>
        <v>11700</v>
      </c>
      <c r="I1852" s="9">
        <v>0</v>
      </c>
      <c r="J1852" s="9">
        <v>11700</v>
      </c>
      <c r="K1852" s="9">
        <v>11778</v>
      </c>
    </row>
    <row r="1853" spans="1:11" ht="15.75">
      <c r="A1853" s="5">
        <v>45835</v>
      </c>
      <c r="B1853" s="6" t="s">
        <v>12</v>
      </c>
      <c r="C1853" s="7">
        <v>13.55</v>
      </c>
      <c r="D1853" s="7">
        <v>9.4499999999999993</v>
      </c>
      <c r="E1853" s="8">
        <v>3000</v>
      </c>
      <c r="F1853" s="8">
        <v>2000</v>
      </c>
      <c r="G1853" s="6">
        <v>6000</v>
      </c>
      <c r="H1853" s="9">
        <f t="shared" si="147"/>
        <v>11000</v>
      </c>
      <c r="I1853" s="9">
        <v>0</v>
      </c>
      <c r="J1853" s="9">
        <v>11000</v>
      </c>
      <c r="K1853" s="9">
        <v>11617</v>
      </c>
    </row>
    <row r="1854" spans="1:11" ht="15.75">
      <c r="A1854" s="5">
        <v>45836</v>
      </c>
      <c r="B1854" s="6" t="s">
        <v>12</v>
      </c>
      <c r="C1854" s="7">
        <v>13.87</v>
      </c>
      <c r="D1854" s="7">
        <v>10.5</v>
      </c>
      <c r="E1854" s="8">
        <v>3000</v>
      </c>
      <c r="F1854" s="8">
        <v>2000</v>
      </c>
      <c r="G1854" s="6">
        <v>5500</v>
      </c>
      <c r="H1854" s="9">
        <f t="shared" si="147"/>
        <v>10500</v>
      </c>
      <c r="I1854" s="9">
        <v>0</v>
      </c>
      <c r="J1854" s="9">
        <v>10500</v>
      </c>
      <c r="K1854" s="9">
        <v>12969</v>
      </c>
    </row>
    <row r="1855" spans="1:11" ht="15.75">
      <c r="A1855" s="5">
        <v>45837</v>
      </c>
      <c r="B1855" s="6" t="s">
        <v>12</v>
      </c>
      <c r="C1855" s="7">
        <v>13.99</v>
      </c>
      <c r="D1855" s="7">
        <v>10.9</v>
      </c>
      <c r="E1855" s="8">
        <v>3000</v>
      </c>
      <c r="F1855" s="8">
        <v>2000</v>
      </c>
      <c r="G1855" s="6">
        <v>5500</v>
      </c>
      <c r="H1855" s="9">
        <f t="shared" si="147"/>
        <v>10500</v>
      </c>
      <c r="I1855" s="9">
        <v>0</v>
      </c>
      <c r="J1855" s="9">
        <v>10500</v>
      </c>
      <c r="K1855" s="9">
        <v>11426</v>
      </c>
    </row>
    <row r="1856" spans="1:11" ht="15.75">
      <c r="A1856" s="5">
        <v>45838</v>
      </c>
      <c r="B1856" s="6" t="s">
        <v>12</v>
      </c>
      <c r="C1856" s="7">
        <v>13.99</v>
      </c>
      <c r="D1856" s="7">
        <v>10.9</v>
      </c>
      <c r="E1856" s="8">
        <v>3600</v>
      </c>
      <c r="F1856" s="8">
        <v>2300</v>
      </c>
      <c r="G1856" s="6">
        <v>6000</v>
      </c>
      <c r="H1856" s="9">
        <f t="shared" si="147"/>
        <v>11900</v>
      </c>
      <c r="I1856" s="9">
        <v>18141</v>
      </c>
      <c r="J1856" s="9">
        <v>30041</v>
      </c>
      <c r="K1856" s="9">
        <v>30041</v>
      </c>
    </row>
    <row r="1857" spans="1:11" ht="15.75">
      <c r="A1857" s="2" t="s">
        <v>13</v>
      </c>
      <c r="B1857" s="2"/>
      <c r="C1857" s="2"/>
      <c r="D1857" s="2"/>
      <c r="E1857" s="11">
        <f t="shared" ref="E1857:K1857" si="148">SUM(E1827:E1856)</f>
        <v>62200</v>
      </c>
      <c r="F1857" s="11">
        <f t="shared" si="148"/>
        <v>31100</v>
      </c>
      <c r="G1857" s="11">
        <f t="shared" si="148"/>
        <v>98900</v>
      </c>
      <c r="H1857" s="11">
        <f t="shared" si="148"/>
        <v>192200</v>
      </c>
      <c r="I1857" s="11">
        <f t="shared" si="148"/>
        <v>288385</v>
      </c>
      <c r="J1857" s="11">
        <f t="shared" si="148"/>
        <v>480585</v>
      </c>
      <c r="K1857" s="11">
        <f t="shared" si="148"/>
        <v>482206</v>
      </c>
    </row>
    <row r="1858" spans="1:11" ht="15.75">
      <c r="A1858" s="12"/>
      <c r="B1858" s="2"/>
      <c r="C1858" s="2"/>
      <c r="D1858" s="2"/>
      <c r="E1858" s="13">
        <f t="shared" ref="E1858:K1858" si="149">SUM(E1857/11575)</f>
        <v>5.3736501079913603</v>
      </c>
      <c r="F1858" s="13">
        <f t="shared" si="149"/>
        <v>2.6868250539956802</v>
      </c>
      <c r="G1858" s="13">
        <f t="shared" si="149"/>
        <v>8.5442764578833685</v>
      </c>
      <c r="H1858" s="13">
        <f t="shared" si="149"/>
        <v>16.604751619870409</v>
      </c>
      <c r="I1858" s="13">
        <f t="shared" si="149"/>
        <v>24.914470842332612</v>
      </c>
      <c r="J1858" s="13">
        <f t="shared" si="149"/>
        <v>41.519222462203025</v>
      </c>
      <c r="K1858" s="13">
        <f t="shared" si="149"/>
        <v>41.659265658747302</v>
      </c>
    </row>
    <row r="1859" spans="1:11" ht="15.75">
      <c r="A1859" s="1" t="s">
        <v>75</v>
      </c>
      <c r="B1859" s="1"/>
      <c r="C1859" s="1"/>
      <c r="D1859" s="1"/>
      <c r="E1859" s="1"/>
      <c r="F1859" s="1"/>
      <c r="G1859" s="1"/>
      <c r="H1859" s="1"/>
      <c r="I1859" s="1"/>
      <c r="J1859" s="1"/>
      <c r="K1859" s="1"/>
    </row>
    <row r="1860" spans="1:11" ht="47.25">
      <c r="A1860" s="2" t="s">
        <v>1</v>
      </c>
      <c r="B1860" s="2" t="s">
        <v>2</v>
      </c>
      <c r="C1860" s="3" t="s">
        <v>18</v>
      </c>
      <c r="D1860" s="3" t="s">
        <v>4</v>
      </c>
      <c r="E1860" s="3" t="s">
        <v>5</v>
      </c>
      <c r="F1860" s="3" t="s">
        <v>6</v>
      </c>
      <c r="G1860" s="3" t="s">
        <v>7</v>
      </c>
      <c r="H1860" s="3" t="s">
        <v>8</v>
      </c>
      <c r="I1860" s="3" t="s">
        <v>9</v>
      </c>
      <c r="J1860" s="3" t="s">
        <v>19</v>
      </c>
      <c r="K1860" s="4" t="s">
        <v>11</v>
      </c>
    </row>
    <row r="1861" spans="1:11" ht="15.75">
      <c r="A1861" s="5">
        <v>45839</v>
      </c>
      <c r="B1861" s="6" t="s">
        <v>12</v>
      </c>
      <c r="C1861" s="7">
        <v>13.99</v>
      </c>
      <c r="D1861" s="7">
        <v>10.9</v>
      </c>
      <c r="E1861" s="8">
        <v>3900</v>
      </c>
      <c r="F1861" s="8">
        <v>2450</v>
      </c>
      <c r="G1861" s="6">
        <v>5800</v>
      </c>
      <c r="H1861" s="14">
        <f>E1861+F1861+G1861</f>
        <v>12150</v>
      </c>
      <c r="I1861" s="9">
        <v>18160</v>
      </c>
      <c r="J1861" s="9">
        <v>30310</v>
      </c>
      <c r="K1861" s="9">
        <v>30310</v>
      </c>
    </row>
    <row r="1862" spans="1:11" ht="15.75">
      <c r="A1862" s="5">
        <v>45840</v>
      </c>
      <c r="B1862" s="6" t="s">
        <v>12</v>
      </c>
      <c r="C1862" s="7">
        <v>13.99</v>
      </c>
      <c r="D1862" s="7">
        <v>10.9</v>
      </c>
      <c r="E1862" s="8">
        <v>4200</v>
      </c>
      <c r="F1862" s="8">
        <v>2450</v>
      </c>
      <c r="G1862" s="6">
        <v>5800</v>
      </c>
      <c r="H1862" s="9">
        <f t="shared" ref="H1862:H1891" si="150">E1862+F1862+G1862</f>
        <v>12450</v>
      </c>
      <c r="I1862" s="9">
        <v>47411</v>
      </c>
      <c r="J1862" s="9">
        <v>59861</v>
      </c>
      <c r="K1862" s="9">
        <v>59861</v>
      </c>
    </row>
    <row r="1863" spans="1:11" ht="15.75">
      <c r="A1863" s="5">
        <v>45841</v>
      </c>
      <c r="B1863" s="6" t="s">
        <v>12</v>
      </c>
      <c r="C1863" s="7">
        <v>13.87</v>
      </c>
      <c r="D1863" s="7">
        <v>10.5</v>
      </c>
      <c r="E1863" s="8">
        <v>3900</v>
      </c>
      <c r="F1863" s="8">
        <v>2450</v>
      </c>
      <c r="G1863" s="8">
        <v>5800</v>
      </c>
      <c r="H1863" s="9">
        <f t="shared" si="150"/>
        <v>12150</v>
      </c>
      <c r="I1863" s="9">
        <v>85282</v>
      </c>
      <c r="J1863" s="9">
        <v>97432</v>
      </c>
      <c r="K1863" s="10">
        <v>96506</v>
      </c>
    </row>
    <row r="1864" spans="1:11" ht="15.75">
      <c r="A1864" s="5">
        <v>45842</v>
      </c>
      <c r="B1864" s="6" t="s">
        <v>12</v>
      </c>
      <c r="C1864" s="7">
        <v>13.99</v>
      </c>
      <c r="D1864" s="7">
        <v>10.9</v>
      </c>
      <c r="E1864" s="8">
        <v>3900</v>
      </c>
      <c r="F1864" s="8">
        <v>2100</v>
      </c>
      <c r="G1864" s="8">
        <v>5800</v>
      </c>
      <c r="H1864" s="9">
        <f t="shared" si="150"/>
        <v>11800</v>
      </c>
      <c r="I1864" s="9">
        <v>136189</v>
      </c>
      <c r="J1864" s="9">
        <v>147989</v>
      </c>
      <c r="K1864" s="10">
        <v>148915</v>
      </c>
    </row>
    <row r="1865" spans="1:11" ht="15.75">
      <c r="A1865" s="5">
        <v>45843</v>
      </c>
      <c r="B1865" s="6" t="s">
        <v>12</v>
      </c>
      <c r="C1865" s="7">
        <v>13.81</v>
      </c>
      <c r="D1865" s="7">
        <v>10.3</v>
      </c>
      <c r="E1865" s="8">
        <v>4200</v>
      </c>
      <c r="F1865" s="8">
        <v>2100</v>
      </c>
      <c r="G1865" s="8">
        <v>5800</v>
      </c>
      <c r="H1865" s="9">
        <f t="shared" si="150"/>
        <v>12100</v>
      </c>
      <c r="I1865" s="9">
        <v>160218</v>
      </c>
      <c r="J1865" s="9">
        <v>172318</v>
      </c>
      <c r="K1865" s="10">
        <v>170929</v>
      </c>
    </row>
    <row r="1866" spans="1:11" ht="15.75">
      <c r="A1866" s="5">
        <v>45844</v>
      </c>
      <c r="B1866" s="6" t="s">
        <v>12</v>
      </c>
      <c r="C1866" s="7">
        <v>13.99</v>
      </c>
      <c r="D1866" s="7">
        <v>10.9</v>
      </c>
      <c r="E1866" s="8">
        <v>4200</v>
      </c>
      <c r="F1866" s="8">
        <v>2450</v>
      </c>
      <c r="G1866" s="8">
        <v>5800</v>
      </c>
      <c r="H1866" s="9">
        <f t="shared" si="150"/>
        <v>12450</v>
      </c>
      <c r="I1866" s="9">
        <v>211837</v>
      </c>
      <c r="J1866" s="9">
        <v>224287</v>
      </c>
      <c r="K1866" s="10">
        <v>225676</v>
      </c>
    </row>
    <row r="1867" spans="1:11" ht="15.75">
      <c r="A1867" s="5">
        <v>45845</v>
      </c>
      <c r="B1867" s="6" t="s">
        <v>12</v>
      </c>
      <c r="C1867" s="7">
        <v>13.29</v>
      </c>
      <c r="D1867" s="7">
        <v>8.6</v>
      </c>
      <c r="E1867" s="8">
        <v>4200</v>
      </c>
      <c r="F1867" s="8">
        <v>2450</v>
      </c>
      <c r="G1867" s="8">
        <v>5800</v>
      </c>
      <c r="H1867" s="9">
        <f t="shared" si="150"/>
        <v>12450</v>
      </c>
      <c r="I1867" s="9">
        <v>198100</v>
      </c>
      <c r="J1867" s="9">
        <v>210550</v>
      </c>
      <c r="K1867" s="10">
        <v>205155</v>
      </c>
    </row>
    <row r="1868" spans="1:11" ht="15.75">
      <c r="A1868" s="5">
        <v>45846</v>
      </c>
      <c r="B1868" s="6" t="s">
        <v>12</v>
      </c>
      <c r="C1868" s="7">
        <v>13.6</v>
      </c>
      <c r="D1868" s="7">
        <v>9.6</v>
      </c>
      <c r="E1868" s="8">
        <v>4400</v>
      </c>
      <c r="F1868" s="8">
        <v>2450</v>
      </c>
      <c r="G1868" s="8">
        <v>6000</v>
      </c>
      <c r="H1868" s="9">
        <f t="shared" si="150"/>
        <v>12850</v>
      </c>
      <c r="I1868" s="9">
        <v>153330</v>
      </c>
      <c r="J1868" s="9">
        <v>166180</v>
      </c>
      <c r="K1868" s="10">
        <v>168566</v>
      </c>
    </row>
    <row r="1869" spans="1:11" ht="15.75">
      <c r="A1869" s="5">
        <v>45847</v>
      </c>
      <c r="B1869" s="6" t="s">
        <v>12</v>
      </c>
      <c r="C1869" s="7">
        <v>13.69</v>
      </c>
      <c r="D1869" s="7">
        <v>9.9</v>
      </c>
      <c r="E1869" s="8">
        <v>4600</v>
      </c>
      <c r="F1869" s="8">
        <v>2450</v>
      </c>
      <c r="G1869" s="8">
        <v>6500</v>
      </c>
      <c r="H1869" s="9">
        <f t="shared" si="150"/>
        <v>13550</v>
      </c>
      <c r="I1869" s="9">
        <v>200661</v>
      </c>
      <c r="J1869" s="9">
        <v>214211</v>
      </c>
      <c r="K1869" s="10">
        <v>214906</v>
      </c>
    </row>
    <row r="1870" spans="1:11" ht="15.75">
      <c r="A1870" s="5">
        <v>45848</v>
      </c>
      <c r="B1870" s="6" t="s">
        <v>12</v>
      </c>
      <c r="C1870" s="7">
        <v>13.96</v>
      </c>
      <c r="D1870" s="7">
        <v>10.8</v>
      </c>
      <c r="E1870" s="8">
        <v>4800</v>
      </c>
      <c r="F1870" s="8">
        <v>2450</v>
      </c>
      <c r="G1870" s="8">
        <v>6500</v>
      </c>
      <c r="H1870" s="9">
        <f t="shared" si="150"/>
        <v>13750</v>
      </c>
      <c r="I1870" s="9">
        <v>232160</v>
      </c>
      <c r="J1870" s="9">
        <v>245910</v>
      </c>
      <c r="K1870" s="9">
        <v>247994</v>
      </c>
    </row>
    <row r="1871" spans="1:11" ht="15.75">
      <c r="A1871" s="5">
        <v>45849</v>
      </c>
      <c r="B1871" s="6" t="s">
        <v>12</v>
      </c>
      <c r="C1871" s="7">
        <v>13.64</v>
      </c>
      <c r="D1871" s="7">
        <v>9.75</v>
      </c>
      <c r="E1871" s="8">
        <v>4800</v>
      </c>
      <c r="F1871" s="6">
        <v>2450</v>
      </c>
      <c r="G1871" s="8">
        <v>6500</v>
      </c>
      <c r="H1871" s="9">
        <f t="shared" si="150"/>
        <v>13750</v>
      </c>
      <c r="I1871" s="9">
        <v>283042</v>
      </c>
      <c r="J1871" s="9">
        <v>296792</v>
      </c>
      <c r="K1871" s="10">
        <v>294323</v>
      </c>
    </row>
    <row r="1872" spans="1:11" ht="15.75">
      <c r="A1872" s="5">
        <v>45850</v>
      </c>
      <c r="B1872" s="6" t="s">
        <v>12</v>
      </c>
      <c r="C1872" s="7">
        <v>13.72</v>
      </c>
      <c r="D1872" s="7">
        <v>10</v>
      </c>
      <c r="E1872" s="8">
        <v>4800</v>
      </c>
      <c r="F1872" s="6">
        <v>2450</v>
      </c>
      <c r="G1872" s="8">
        <v>6500</v>
      </c>
      <c r="H1872" s="9">
        <f t="shared" si="150"/>
        <v>13750</v>
      </c>
      <c r="I1872" s="9">
        <v>504630</v>
      </c>
      <c r="J1872" s="9">
        <v>518380</v>
      </c>
      <c r="K1872" s="10">
        <v>518997</v>
      </c>
    </row>
    <row r="1873" spans="1:11" ht="15.75">
      <c r="A1873" s="5">
        <v>45851</v>
      </c>
      <c r="B1873" s="6" t="s">
        <v>12</v>
      </c>
      <c r="C1873" s="7">
        <v>13.99</v>
      </c>
      <c r="D1873" s="7">
        <v>10.9</v>
      </c>
      <c r="E1873" s="8">
        <v>4800</v>
      </c>
      <c r="F1873" s="6">
        <v>2600</v>
      </c>
      <c r="G1873" s="8">
        <v>6800</v>
      </c>
      <c r="H1873" s="9">
        <f t="shared" si="150"/>
        <v>14200</v>
      </c>
      <c r="I1873" s="9">
        <v>656341</v>
      </c>
      <c r="J1873" s="9">
        <v>670541</v>
      </c>
      <c r="K1873" s="10">
        <v>672625</v>
      </c>
    </row>
    <row r="1874" spans="1:11" ht="15.75">
      <c r="A1874" s="5">
        <v>45852</v>
      </c>
      <c r="B1874" s="6" t="s">
        <v>12</v>
      </c>
      <c r="C1874" s="7">
        <v>13.38</v>
      </c>
      <c r="D1874" s="7">
        <v>8.9</v>
      </c>
      <c r="E1874" s="8">
        <v>4800</v>
      </c>
      <c r="F1874" s="6">
        <v>2600</v>
      </c>
      <c r="G1874" s="8">
        <v>6800</v>
      </c>
      <c r="H1874" s="9">
        <f t="shared" si="150"/>
        <v>14200</v>
      </c>
      <c r="I1874" s="9">
        <v>460815</v>
      </c>
      <c r="J1874" s="9">
        <v>475015</v>
      </c>
      <c r="K1874" s="10">
        <v>470309</v>
      </c>
    </row>
    <row r="1875" spans="1:11" ht="15.75">
      <c r="A1875" s="5">
        <v>45853</v>
      </c>
      <c r="B1875" s="6" t="s">
        <v>12</v>
      </c>
      <c r="C1875" s="7">
        <v>13.99</v>
      </c>
      <c r="D1875" s="7">
        <v>10.9</v>
      </c>
      <c r="E1875" s="8">
        <v>5000</v>
      </c>
      <c r="F1875" s="6">
        <v>2600</v>
      </c>
      <c r="G1875" s="8">
        <v>6800</v>
      </c>
      <c r="H1875" s="9">
        <f t="shared" si="150"/>
        <v>14400</v>
      </c>
      <c r="I1875" s="9">
        <v>308084</v>
      </c>
      <c r="J1875" s="9">
        <v>322484</v>
      </c>
      <c r="K1875" s="10">
        <v>327190</v>
      </c>
    </row>
    <row r="1876" spans="1:11" ht="15.75">
      <c r="A1876" s="5">
        <v>45854</v>
      </c>
      <c r="B1876" s="6" t="s">
        <v>12</v>
      </c>
      <c r="C1876" s="7">
        <v>13.99</v>
      </c>
      <c r="D1876" s="7">
        <v>10.9</v>
      </c>
      <c r="E1876" s="8">
        <v>5000</v>
      </c>
      <c r="F1876" s="6">
        <v>2600</v>
      </c>
      <c r="G1876" s="8">
        <v>6800</v>
      </c>
      <c r="H1876" s="9">
        <f t="shared" si="150"/>
        <v>14400</v>
      </c>
      <c r="I1876" s="9">
        <v>162276</v>
      </c>
      <c r="J1876" s="9">
        <v>176676</v>
      </c>
      <c r="K1876" s="10">
        <v>176676</v>
      </c>
    </row>
    <row r="1877" spans="1:11" ht="15.75">
      <c r="A1877" s="5">
        <v>45855</v>
      </c>
      <c r="B1877" s="6" t="s">
        <v>12</v>
      </c>
      <c r="C1877" s="7">
        <v>13.75</v>
      </c>
      <c r="D1877" s="7">
        <v>10.1</v>
      </c>
      <c r="E1877" s="8">
        <v>5000</v>
      </c>
      <c r="F1877" s="6">
        <v>2600</v>
      </c>
      <c r="G1877" s="6">
        <v>7000</v>
      </c>
      <c r="H1877" s="9">
        <f t="shared" si="150"/>
        <v>14600</v>
      </c>
      <c r="I1877" s="9">
        <v>107520</v>
      </c>
      <c r="J1877" s="9">
        <v>122120</v>
      </c>
      <c r="K1877" s="10">
        <v>120268</v>
      </c>
    </row>
    <row r="1878" spans="1:11" ht="15.75">
      <c r="A1878" s="5">
        <v>45856</v>
      </c>
      <c r="B1878" s="6" t="s">
        <v>12</v>
      </c>
      <c r="C1878" s="7">
        <v>13.99</v>
      </c>
      <c r="D1878" s="7">
        <v>10.9</v>
      </c>
      <c r="E1878" s="8">
        <v>5000</v>
      </c>
      <c r="F1878" s="6">
        <v>2600</v>
      </c>
      <c r="G1878" s="6">
        <v>7200</v>
      </c>
      <c r="H1878" s="9">
        <f t="shared" si="150"/>
        <v>14800</v>
      </c>
      <c r="I1878" s="9">
        <v>59716</v>
      </c>
      <c r="J1878" s="9">
        <v>74516</v>
      </c>
      <c r="K1878" s="9">
        <v>76368</v>
      </c>
    </row>
    <row r="1879" spans="1:11" ht="15.75">
      <c r="A1879" s="5">
        <v>45857</v>
      </c>
      <c r="B1879" s="6" t="s">
        <v>12</v>
      </c>
      <c r="C1879" s="7">
        <v>13.99</v>
      </c>
      <c r="D1879" s="7">
        <v>10.9</v>
      </c>
      <c r="E1879" s="8">
        <v>5000</v>
      </c>
      <c r="F1879" s="6">
        <v>2700</v>
      </c>
      <c r="G1879" s="6">
        <v>7200</v>
      </c>
      <c r="H1879" s="9">
        <f t="shared" si="150"/>
        <v>14900</v>
      </c>
      <c r="I1879" s="9">
        <v>46406</v>
      </c>
      <c r="J1879" s="9">
        <v>61306</v>
      </c>
      <c r="K1879" s="10">
        <v>61306</v>
      </c>
    </row>
    <row r="1880" spans="1:11" ht="15.75">
      <c r="A1880" s="5">
        <v>45858</v>
      </c>
      <c r="B1880" s="6" t="s">
        <v>12</v>
      </c>
      <c r="C1880" s="7">
        <v>13.99</v>
      </c>
      <c r="D1880" s="7">
        <v>10.9</v>
      </c>
      <c r="E1880" s="8">
        <v>5000</v>
      </c>
      <c r="F1880" s="8">
        <v>2350</v>
      </c>
      <c r="G1880" s="8">
        <v>6700</v>
      </c>
      <c r="H1880" s="9">
        <f t="shared" si="150"/>
        <v>14050</v>
      </c>
      <c r="I1880" s="9">
        <v>49422</v>
      </c>
      <c r="J1880" s="9">
        <v>63472</v>
      </c>
      <c r="K1880" s="10">
        <v>63472</v>
      </c>
    </row>
    <row r="1881" spans="1:11" ht="15.75">
      <c r="A1881" s="5">
        <v>45859</v>
      </c>
      <c r="B1881" s="6" t="s">
        <v>12</v>
      </c>
      <c r="C1881" s="7">
        <v>13.99</v>
      </c>
      <c r="D1881" s="7">
        <v>10.9</v>
      </c>
      <c r="E1881" s="8">
        <v>5000</v>
      </c>
      <c r="F1881" s="8">
        <v>2700</v>
      </c>
      <c r="G1881" s="6">
        <v>4700</v>
      </c>
      <c r="H1881" s="9">
        <f t="shared" si="150"/>
        <v>12400</v>
      </c>
      <c r="I1881" s="9">
        <v>49422</v>
      </c>
      <c r="J1881" s="9">
        <v>61822</v>
      </c>
      <c r="K1881" s="9">
        <v>61822</v>
      </c>
    </row>
    <row r="1882" spans="1:11" ht="15.75">
      <c r="A1882" s="5">
        <v>45860</v>
      </c>
      <c r="B1882" s="6" t="s">
        <v>12</v>
      </c>
      <c r="C1882" s="7">
        <v>13.99</v>
      </c>
      <c r="D1882" s="7">
        <v>10.9</v>
      </c>
      <c r="E1882" s="8">
        <v>3800</v>
      </c>
      <c r="F1882" s="8">
        <v>2300</v>
      </c>
      <c r="G1882" s="6">
        <v>4700</v>
      </c>
      <c r="H1882" s="9">
        <f t="shared" si="150"/>
        <v>10800</v>
      </c>
      <c r="I1882" s="9">
        <v>78607</v>
      </c>
      <c r="J1882" s="9">
        <v>89407</v>
      </c>
      <c r="K1882" s="9">
        <v>89407</v>
      </c>
    </row>
    <row r="1883" spans="1:11" ht="15.75">
      <c r="A1883" s="5">
        <v>45861</v>
      </c>
      <c r="B1883" s="6" t="s">
        <v>12</v>
      </c>
      <c r="C1883" s="7">
        <v>13.99</v>
      </c>
      <c r="D1883" s="7">
        <v>10.9</v>
      </c>
      <c r="E1883" s="8">
        <v>3800</v>
      </c>
      <c r="F1883" s="8">
        <v>2100</v>
      </c>
      <c r="G1883" s="8">
        <v>4700</v>
      </c>
      <c r="H1883" s="9">
        <f t="shared" si="150"/>
        <v>10600</v>
      </c>
      <c r="I1883" s="9">
        <v>115518</v>
      </c>
      <c r="J1883" s="9">
        <v>126118</v>
      </c>
      <c r="K1883" s="9">
        <v>126118</v>
      </c>
    </row>
    <row r="1884" spans="1:11" ht="15.75">
      <c r="A1884" s="5">
        <v>45862</v>
      </c>
      <c r="B1884" s="6" t="s">
        <v>12</v>
      </c>
      <c r="C1884" s="7">
        <v>13.35</v>
      </c>
      <c r="D1884" s="7">
        <v>8.8000000000000007</v>
      </c>
      <c r="E1884" s="8">
        <v>3800</v>
      </c>
      <c r="F1884" s="8">
        <v>2100</v>
      </c>
      <c r="G1884" s="6">
        <v>4700</v>
      </c>
      <c r="H1884" s="9">
        <f t="shared" si="150"/>
        <v>10600</v>
      </c>
      <c r="I1884" s="9">
        <v>151935</v>
      </c>
      <c r="J1884" s="9">
        <v>162535</v>
      </c>
      <c r="K1884" s="9">
        <v>157596</v>
      </c>
    </row>
    <row r="1885" spans="1:11" ht="15.75">
      <c r="A1885" s="5">
        <v>45863</v>
      </c>
      <c r="B1885" s="6" t="s">
        <v>12</v>
      </c>
      <c r="C1885" s="7">
        <v>13.99</v>
      </c>
      <c r="D1885" s="7">
        <v>10.9</v>
      </c>
      <c r="E1885" s="8">
        <v>3300</v>
      </c>
      <c r="F1885" s="8">
        <v>2100</v>
      </c>
      <c r="G1885" s="6">
        <v>3700</v>
      </c>
      <c r="H1885" s="9">
        <f t="shared" si="150"/>
        <v>9100</v>
      </c>
      <c r="I1885" s="9">
        <v>216302</v>
      </c>
      <c r="J1885" s="9">
        <v>225402</v>
      </c>
      <c r="K1885" s="9">
        <v>230341</v>
      </c>
    </row>
    <row r="1886" spans="1:11" ht="15.75">
      <c r="A1886" s="5">
        <v>45864</v>
      </c>
      <c r="B1886" s="6" t="s">
        <v>12</v>
      </c>
      <c r="C1886" s="7">
        <v>13.99</v>
      </c>
      <c r="D1886" s="7">
        <v>10.9</v>
      </c>
      <c r="E1886" s="8">
        <v>2200</v>
      </c>
      <c r="F1886" s="8">
        <v>2100</v>
      </c>
      <c r="G1886" s="6">
        <v>3700</v>
      </c>
      <c r="H1886" s="9">
        <f t="shared" si="150"/>
        <v>8000</v>
      </c>
      <c r="I1886" s="9">
        <v>352011</v>
      </c>
      <c r="J1886" s="9">
        <v>360011</v>
      </c>
      <c r="K1886" s="9">
        <v>360011</v>
      </c>
    </row>
    <row r="1887" spans="1:11" ht="15.75">
      <c r="A1887" s="5">
        <v>45865</v>
      </c>
      <c r="B1887" s="6" t="s">
        <v>12</v>
      </c>
      <c r="C1887" s="7">
        <v>13.99</v>
      </c>
      <c r="D1887" s="7">
        <v>10.9</v>
      </c>
      <c r="E1887" s="8">
        <v>2200</v>
      </c>
      <c r="F1887" s="8">
        <v>1800</v>
      </c>
      <c r="G1887" s="6">
        <v>3700</v>
      </c>
      <c r="H1887" s="9">
        <f t="shared" si="150"/>
        <v>7700</v>
      </c>
      <c r="I1887" s="9">
        <v>549734</v>
      </c>
      <c r="J1887" s="9">
        <v>557424</v>
      </c>
      <c r="K1887" s="9">
        <v>557434</v>
      </c>
    </row>
    <row r="1888" spans="1:11" ht="15.75">
      <c r="A1888" s="5">
        <v>45866</v>
      </c>
      <c r="B1888" s="6" t="s">
        <v>12</v>
      </c>
      <c r="C1888" s="7">
        <v>13.99</v>
      </c>
      <c r="D1888" s="7">
        <v>10.9</v>
      </c>
      <c r="E1888" s="8">
        <v>3000</v>
      </c>
      <c r="F1888" s="8">
        <v>2050</v>
      </c>
      <c r="G1888" s="6">
        <v>5000</v>
      </c>
      <c r="H1888" s="9">
        <f t="shared" si="150"/>
        <v>10050</v>
      </c>
      <c r="I1888" s="9">
        <v>601844</v>
      </c>
      <c r="J1888" s="9">
        <v>611894</v>
      </c>
      <c r="K1888" s="9">
        <v>611894</v>
      </c>
    </row>
    <row r="1889" spans="1:11" ht="15.75">
      <c r="A1889" s="5">
        <v>45867</v>
      </c>
      <c r="B1889" s="6" t="s">
        <v>12</v>
      </c>
      <c r="C1889" s="7">
        <v>13.99</v>
      </c>
      <c r="D1889" s="7">
        <v>10.9</v>
      </c>
      <c r="E1889" s="8">
        <v>3700</v>
      </c>
      <c r="F1889" s="8">
        <v>2400</v>
      </c>
      <c r="G1889" s="6">
        <v>6000</v>
      </c>
      <c r="H1889" s="9">
        <f t="shared" si="150"/>
        <v>12100</v>
      </c>
      <c r="I1889" s="9">
        <v>588790</v>
      </c>
      <c r="J1889" s="9">
        <v>600890</v>
      </c>
      <c r="K1889" s="9">
        <v>600890</v>
      </c>
    </row>
    <row r="1890" spans="1:11" ht="15.75">
      <c r="A1890" s="5">
        <v>45868</v>
      </c>
      <c r="B1890" s="6" t="s">
        <v>12</v>
      </c>
      <c r="C1890" s="7">
        <v>13.96</v>
      </c>
      <c r="D1890" s="7">
        <v>10.8</v>
      </c>
      <c r="E1890" s="8">
        <v>4300</v>
      </c>
      <c r="F1890" s="8">
        <v>2600</v>
      </c>
      <c r="G1890" s="6">
        <v>6000</v>
      </c>
      <c r="H1890" s="9">
        <f t="shared" si="150"/>
        <v>12900</v>
      </c>
      <c r="I1890" s="9">
        <v>586477</v>
      </c>
      <c r="J1890" s="9">
        <v>599377</v>
      </c>
      <c r="K1890" s="9">
        <v>599145</v>
      </c>
    </row>
    <row r="1891" spans="1:11" ht="15.75">
      <c r="A1891" s="5">
        <v>45869</v>
      </c>
      <c r="B1891" s="6" t="s">
        <v>12</v>
      </c>
      <c r="C1891" s="7">
        <v>13.57</v>
      </c>
      <c r="D1891" s="7">
        <v>9.5</v>
      </c>
      <c r="E1891" s="8">
        <v>4800</v>
      </c>
      <c r="F1891" s="8">
        <v>2600</v>
      </c>
      <c r="G1891" s="6">
        <v>7000</v>
      </c>
      <c r="H1891" s="9">
        <f t="shared" si="150"/>
        <v>14400</v>
      </c>
      <c r="I1891" s="9">
        <v>471927</v>
      </c>
      <c r="J1891" s="9">
        <v>486327</v>
      </c>
      <c r="K1891" s="9">
        <v>483318</v>
      </c>
    </row>
    <row r="1892" spans="1:11" ht="15.75">
      <c r="A1892" s="2" t="s">
        <v>13</v>
      </c>
      <c r="B1892" s="2"/>
      <c r="C1892" s="2"/>
      <c r="D1892" s="2"/>
      <c r="E1892" s="11">
        <f t="shared" ref="E1892:K1892" si="151">SUM(E1861:E1891)</f>
        <v>131400</v>
      </c>
      <c r="F1892" s="11">
        <f t="shared" si="151"/>
        <v>74200</v>
      </c>
      <c r="G1892" s="11">
        <f t="shared" si="151"/>
        <v>181800</v>
      </c>
      <c r="H1892" s="11">
        <f t="shared" si="151"/>
        <v>387400</v>
      </c>
      <c r="I1892" s="11">
        <f t="shared" si="151"/>
        <v>7844167</v>
      </c>
      <c r="J1892" s="11">
        <f t="shared" si="151"/>
        <v>8231557</v>
      </c>
      <c r="K1892" s="11">
        <f t="shared" si="151"/>
        <v>8228328</v>
      </c>
    </row>
    <row r="1893" spans="1:11" ht="15.75">
      <c r="A1893" s="12"/>
      <c r="B1893" s="2"/>
      <c r="C1893" s="2"/>
      <c r="D1893" s="2"/>
      <c r="E1893" s="13">
        <f t="shared" ref="E1893:K1893" si="152">SUM(E1892/11575)</f>
        <v>11.352051835853132</v>
      </c>
      <c r="F1893" s="13">
        <f t="shared" si="152"/>
        <v>6.4103671706263503</v>
      </c>
      <c r="G1893" s="13">
        <f t="shared" si="152"/>
        <v>15.706263498920086</v>
      </c>
      <c r="H1893" s="13">
        <f t="shared" si="152"/>
        <v>33.46868250539957</v>
      </c>
      <c r="I1893" s="13">
        <f t="shared" si="152"/>
        <v>677.68181425485966</v>
      </c>
      <c r="J1893" s="13">
        <f t="shared" si="152"/>
        <v>711.14963282937367</v>
      </c>
      <c r="K1893" s="13">
        <f t="shared" si="152"/>
        <v>710.87066954643626</v>
      </c>
    </row>
    <row r="1894" spans="1:11" ht="15.75">
      <c r="A1894" s="1" t="s">
        <v>76</v>
      </c>
      <c r="B1894" s="1"/>
      <c r="C1894" s="1"/>
      <c r="D1894" s="1"/>
      <c r="E1894" s="1"/>
      <c r="F1894" s="1"/>
      <c r="G1894" s="1"/>
      <c r="H1894" s="1"/>
      <c r="I1894" s="1"/>
      <c r="J1894" s="1"/>
      <c r="K1894" s="1"/>
    </row>
    <row r="1895" spans="1:11" ht="47.25">
      <c r="A1895" s="2" t="s">
        <v>1</v>
      </c>
      <c r="B1895" s="2" t="s">
        <v>2</v>
      </c>
      <c r="C1895" s="3" t="s">
        <v>18</v>
      </c>
      <c r="D1895" s="3" t="s">
        <v>4</v>
      </c>
      <c r="E1895" s="3" t="s">
        <v>5</v>
      </c>
      <c r="F1895" s="3" t="s">
        <v>6</v>
      </c>
      <c r="G1895" s="3" t="s">
        <v>7</v>
      </c>
      <c r="H1895" s="3" t="s">
        <v>8</v>
      </c>
      <c r="I1895" s="3" t="s">
        <v>9</v>
      </c>
      <c r="J1895" s="3" t="s">
        <v>19</v>
      </c>
      <c r="K1895" s="4" t="s">
        <v>11</v>
      </c>
    </row>
    <row r="1896" spans="1:11" ht="15.75">
      <c r="A1896" s="5">
        <v>45870</v>
      </c>
      <c r="B1896" s="6" t="s">
        <v>12</v>
      </c>
      <c r="C1896" s="7">
        <v>13.57</v>
      </c>
      <c r="D1896" s="7">
        <v>9.5</v>
      </c>
      <c r="E1896" s="8">
        <v>4800</v>
      </c>
      <c r="F1896" s="8">
        <v>2600</v>
      </c>
      <c r="G1896" s="6">
        <v>7000</v>
      </c>
      <c r="H1896" s="14">
        <f>E1896+F1896+G1896</f>
        <v>14400</v>
      </c>
      <c r="I1896" s="9">
        <v>370010</v>
      </c>
      <c r="J1896" s="9">
        <v>384410</v>
      </c>
      <c r="K1896" s="9">
        <v>384410</v>
      </c>
    </row>
    <row r="1897" spans="1:11" ht="15.75">
      <c r="A1897" s="5">
        <v>45871</v>
      </c>
      <c r="B1897" s="6" t="s">
        <v>12</v>
      </c>
      <c r="C1897" s="7">
        <v>13.99</v>
      </c>
      <c r="D1897" s="7">
        <v>10.9</v>
      </c>
      <c r="E1897" s="8">
        <v>5000</v>
      </c>
      <c r="F1897" s="8">
        <v>2600</v>
      </c>
      <c r="G1897" s="6">
        <v>7000</v>
      </c>
      <c r="H1897" s="9">
        <f t="shared" ref="H1897:H1926" si="153">E1897+F1897+G1897</f>
        <v>14600</v>
      </c>
      <c r="I1897" s="9">
        <v>360483</v>
      </c>
      <c r="J1897" s="9">
        <v>375083</v>
      </c>
      <c r="K1897" s="9">
        <v>378324</v>
      </c>
    </row>
    <row r="1898" spans="1:11" ht="15.75">
      <c r="A1898" s="5">
        <v>45872</v>
      </c>
      <c r="B1898" s="6" t="s">
        <v>12</v>
      </c>
      <c r="C1898" s="7">
        <v>13.87</v>
      </c>
      <c r="D1898" s="7">
        <v>10.5</v>
      </c>
      <c r="E1898" s="8">
        <v>5000</v>
      </c>
      <c r="F1898" s="8">
        <v>2300</v>
      </c>
      <c r="G1898" s="8">
        <v>7000</v>
      </c>
      <c r="H1898" s="9">
        <f t="shared" si="153"/>
        <v>14300</v>
      </c>
      <c r="I1898" s="9">
        <v>305671</v>
      </c>
      <c r="J1898" s="9">
        <v>319971</v>
      </c>
      <c r="K1898" s="10">
        <v>319045</v>
      </c>
    </row>
    <row r="1899" spans="1:11" ht="15.75">
      <c r="A1899" s="5">
        <v>45873</v>
      </c>
      <c r="B1899" s="6" t="s">
        <v>12</v>
      </c>
      <c r="C1899" s="7">
        <v>13.66</v>
      </c>
      <c r="D1899" s="7">
        <v>9.8000000000000007</v>
      </c>
      <c r="E1899" s="8">
        <v>5000</v>
      </c>
      <c r="F1899" s="8">
        <v>2300</v>
      </c>
      <c r="G1899" s="8">
        <v>7000</v>
      </c>
      <c r="H1899" s="9">
        <f t="shared" si="153"/>
        <v>14300</v>
      </c>
      <c r="I1899" s="9">
        <v>238926</v>
      </c>
      <c r="J1899" s="9">
        <v>253226</v>
      </c>
      <c r="K1899" s="10">
        <v>251606</v>
      </c>
    </row>
    <row r="1900" spans="1:11" ht="15.75">
      <c r="A1900" s="5">
        <v>45874</v>
      </c>
      <c r="B1900" s="6" t="s">
        <v>12</v>
      </c>
      <c r="C1900" s="7">
        <v>13.99</v>
      </c>
      <c r="D1900" s="7">
        <v>10.9</v>
      </c>
      <c r="E1900" s="8">
        <v>5000</v>
      </c>
      <c r="F1900" s="8">
        <v>2600</v>
      </c>
      <c r="G1900" s="8">
        <v>7000</v>
      </c>
      <c r="H1900" s="9">
        <f t="shared" si="153"/>
        <v>14600</v>
      </c>
      <c r="I1900" s="9">
        <v>178415</v>
      </c>
      <c r="J1900" s="9">
        <v>193015</v>
      </c>
      <c r="K1900" s="10">
        <v>195562</v>
      </c>
    </row>
    <row r="1901" spans="1:11" ht="15.75">
      <c r="A1901" s="5">
        <v>45875</v>
      </c>
      <c r="B1901" s="6" t="s">
        <v>12</v>
      </c>
      <c r="C1901" s="7">
        <v>13.93</v>
      </c>
      <c r="D1901" s="7">
        <v>10.7</v>
      </c>
      <c r="E1901" s="8">
        <v>5000</v>
      </c>
      <c r="F1901" s="8">
        <v>2700</v>
      </c>
      <c r="G1901" s="8">
        <v>7000</v>
      </c>
      <c r="H1901" s="9">
        <f t="shared" si="153"/>
        <v>14700</v>
      </c>
      <c r="I1901" s="9">
        <v>176532</v>
      </c>
      <c r="J1901" s="9">
        <v>191232</v>
      </c>
      <c r="K1901" s="10">
        <v>190769</v>
      </c>
    </row>
    <row r="1902" spans="1:11" ht="15.75">
      <c r="A1902" s="5">
        <v>45876</v>
      </c>
      <c r="B1902" s="6" t="s">
        <v>12</v>
      </c>
      <c r="C1902" s="7">
        <v>13.99</v>
      </c>
      <c r="D1902" s="7">
        <v>10.9</v>
      </c>
      <c r="E1902" s="8">
        <v>5000</v>
      </c>
      <c r="F1902" s="8">
        <v>2500</v>
      </c>
      <c r="G1902" s="8">
        <v>7000</v>
      </c>
      <c r="H1902" s="9">
        <f t="shared" si="153"/>
        <v>14500</v>
      </c>
      <c r="I1902" s="9">
        <v>138266</v>
      </c>
      <c r="J1902" s="9">
        <v>152766</v>
      </c>
      <c r="K1902" s="10">
        <v>153229</v>
      </c>
    </row>
    <row r="1903" spans="1:11" ht="15.75">
      <c r="A1903" s="5">
        <v>45877</v>
      </c>
      <c r="B1903" s="6" t="s">
        <v>12</v>
      </c>
      <c r="C1903" s="7">
        <v>13.98</v>
      </c>
      <c r="D1903" s="7">
        <v>10.85</v>
      </c>
      <c r="E1903" s="8">
        <v>5000</v>
      </c>
      <c r="F1903" s="8">
        <v>2700</v>
      </c>
      <c r="G1903" s="8">
        <v>7000</v>
      </c>
      <c r="H1903" s="9">
        <f t="shared" si="153"/>
        <v>14700</v>
      </c>
      <c r="I1903" s="9">
        <v>121367</v>
      </c>
      <c r="J1903" s="9">
        <v>136067</v>
      </c>
      <c r="K1903" s="10">
        <v>135913</v>
      </c>
    </row>
    <row r="1904" spans="1:11" ht="15.75">
      <c r="A1904" s="5">
        <v>45878</v>
      </c>
      <c r="B1904" s="6" t="s">
        <v>12</v>
      </c>
      <c r="C1904" s="7">
        <v>13.99</v>
      </c>
      <c r="D1904" s="7">
        <v>10.9</v>
      </c>
      <c r="E1904" s="8">
        <v>5000</v>
      </c>
      <c r="F1904" s="8">
        <v>2700</v>
      </c>
      <c r="G1904" s="8">
        <v>7000</v>
      </c>
      <c r="H1904" s="9">
        <f t="shared" si="153"/>
        <v>14700</v>
      </c>
      <c r="I1904" s="9">
        <v>118480</v>
      </c>
      <c r="J1904" s="9">
        <v>133180</v>
      </c>
      <c r="K1904" s="10">
        <v>133334</v>
      </c>
    </row>
    <row r="1905" spans="1:11" ht="15.75">
      <c r="A1905" s="5">
        <v>45879</v>
      </c>
      <c r="B1905" s="6" t="s">
        <v>12</v>
      </c>
      <c r="C1905" s="7">
        <v>13.93</v>
      </c>
      <c r="D1905" s="7">
        <v>10.7</v>
      </c>
      <c r="E1905" s="8">
        <v>4700</v>
      </c>
      <c r="F1905" s="8">
        <v>2700</v>
      </c>
      <c r="G1905" s="8">
        <v>7000</v>
      </c>
      <c r="H1905" s="9">
        <f t="shared" si="153"/>
        <v>14400</v>
      </c>
      <c r="I1905" s="9">
        <v>97334</v>
      </c>
      <c r="J1905" s="9">
        <v>111724</v>
      </c>
      <c r="K1905" s="9">
        <v>111271</v>
      </c>
    </row>
    <row r="1906" spans="1:11" ht="15.75">
      <c r="A1906" s="5">
        <v>45880</v>
      </c>
      <c r="B1906" s="6" t="s">
        <v>12</v>
      </c>
      <c r="C1906" s="7">
        <v>13.99</v>
      </c>
      <c r="D1906" s="7">
        <v>10.9</v>
      </c>
      <c r="E1906" s="8">
        <v>4700</v>
      </c>
      <c r="F1906" s="6">
        <v>2700</v>
      </c>
      <c r="G1906" s="8">
        <v>7000</v>
      </c>
      <c r="H1906" s="9">
        <f t="shared" si="153"/>
        <v>14400</v>
      </c>
      <c r="I1906" s="9">
        <v>98536</v>
      </c>
      <c r="J1906" s="9">
        <v>112936</v>
      </c>
      <c r="K1906" s="10">
        <v>113399</v>
      </c>
    </row>
    <row r="1907" spans="1:11" ht="15.75">
      <c r="A1907" s="5">
        <v>45881</v>
      </c>
      <c r="B1907" s="6" t="s">
        <v>12</v>
      </c>
      <c r="C1907" s="7">
        <v>13.99</v>
      </c>
      <c r="D1907" s="7">
        <v>10.9</v>
      </c>
      <c r="E1907" s="8">
        <v>4200</v>
      </c>
      <c r="F1907" s="6">
        <v>2500</v>
      </c>
      <c r="G1907" s="8">
        <v>6500</v>
      </c>
      <c r="H1907" s="9">
        <f t="shared" si="153"/>
        <v>13200</v>
      </c>
      <c r="I1907" s="9">
        <v>118431</v>
      </c>
      <c r="J1907" s="9">
        <v>131631</v>
      </c>
      <c r="K1907" s="10">
        <v>131631</v>
      </c>
    </row>
    <row r="1908" spans="1:11" ht="15.75">
      <c r="A1908" s="5">
        <v>45882</v>
      </c>
      <c r="B1908" s="6" t="s">
        <v>12</v>
      </c>
      <c r="C1908" s="7">
        <v>13.99</v>
      </c>
      <c r="D1908" s="7">
        <v>10.9</v>
      </c>
      <c r="E1908" s="8">
        <v>4200</v>
      </c>
      <c r="F1908" s="6">
        <v>2250</v>
      </c>
      <c r="G1908" s="8">
        <v>6500</v>
      </c>
      <c r="H1908" s="9">
        <f t="shared" si="153"/>
        <v>12950</v>
      </c>
      <c r="I1908" s="9">
        <v>118371</v>
      </c>
      <c r="J1908" s="9">
        <v>131321</v>
      </c>
      <c r="K1908" s="10">
        <v>131321</v>
      </c>
    </row>
    <row r="1909" spans="1:11" ht="15.75">
      <c r="A1909" s="5">
        <v>45883</v>
      </c>
      <c r="B1909" s="6" t="s">
        <v>12</v>
      </c>
      <c r="C1909" s="7">
        <v>13.99</v>
      </c>
      <c r="D1909" s="7">
        <v>10.9</v>
      </c>
      <c r="E1909" s="8">
        <v>2800</v>
      </c>
      <c r="F1909" s="6">
        <v>1250</v>
      </c>
      <c r="G1909" s="8">
        <v>500</v>
      </c>
      <c r="H1909" s="9">
        <f t="shared" si="153"/>
        <v>4550</v>
      </c>
      <c r="I1909" s="9">
        <v>118431</v>
      </c>
      <c r="J1909" s="9">
        <v>122981</v>
      </c>
      <c r="K1909" s="10">
        <v>122981</v>
      </c>
    </row>
    <row r="1910" spans="1:11" ht="15.75">
      <c r="A1910" s="5">
        <v>45884</v>
      </c>
      <c r="B1910" s="6" t="s">
        <v>12</v>
      </c>
      <c r="C1910" s="7">
        <v>13.41</v>
      </c>
      <c r="D1910" s="7">
        <v>9</v>
      </c>
      <c r="E1910" s="8">
        <v>2000</v>
      </c>
      <c r="F1910" s="6">
        <v>700</v>
      </c>
      <c r="G1910" s="8">
        <v>500</v>
      </c>
      <c r="H1910" s="9">
        <f t="shared" si="153"/>
        <v>3200</v>
      </c>
      <c r="I1910" s="9">
        <v>229910</v>
      </c>
      <c r="J1910" s="9">
        <v>233110</v>
      </c>
      <c r="K1910" s="10">
        <v>228635</v>
      </c>
    </row>
    <row r="1911" spans="1:11" ht="15.75">
      <c r="A1911" s="5">
        <v>45885</v>
      </c>
      <c r="B1911" s="6" t="s">
        <v>12</v>
      </c>
      <c r="C1911" s="7">
        <v>13.99</v>
      </c>
      <c r="D1911" s="7">
        <v>10.9</v>
      </c>
      <c r="E1911" s="8">
        <v>2000</v>
      </c>
      <c r="F1911" s="6">
        <v>700</v>
      </c>
      <c r="G1911" s="8">
        <v>500</v>
      </c>
      <c r="H1911" s="9">
        <f t="shared" si="153"/>
        <v>3200</v>
      </c>
      <c r="I1911" s="9">
        <v>304122</v>
      </c>
      <c r="J1911" s="9">
        <v>307322</v>
      </c>
      <c r="K1911" s="10">
        <v>311797</v>
      </c>
    </row>
    <row r="1912" spans="1:11" ht="15.75">
      <c r="A1912" s="5">
        <v>45886</v>
      </c>
      <c r="B1912" s="6" t="s">
        <v>12</v>
      </c>
      <c r="C1912" s="7">
        <v>13.6</v>
      </c>
      <c r="D1912" s="7">
        <v>9.6</v>
      </c>
      <c r="E1912" s="8">
        <v>2000</v>
      </c>
      <c r="F1912" s="6">
        <v>200</v>
      </c>
      <c r="G1912" s="6">
        <v>500</v>
      </c>
      <c r="H1912" s="9">
        <f t="shared" si="153"/>
        <v>2700</v>
      </c>
      <c r="I1912" s="9">
        <v>404890</v>
      </c>
      <c r="J1912" s="9">
        <v>407590</v>
      </c>
      <c r="K1912" s="10">
        <v>404580</v>
      </c>
    </row>
    <row r="1913" spans="1:11" ht="15.75">
      <c r="A1913" s="5">
        <v>45887</v>
      </c>
      <c r="B1913" s="6" t="s">
        <v>12</v>
      </c>
      <c r="C1913" s="7">
        <v>13.32</v>
      </c>
      <c r="D1913" s="7">
        <v>8.6999999999999993</v>
      </c>
      <c r="E1913" s="8">
        <v>1500</v>
      </c>
      <c r="F1913" s="6">
        <v>200</v>
      </c>
      <c r="G1913" s="6">
        <v>500</v>
      </c>
      <c r="H1913" s="9">
        <f t="shared" si="153"/>
        <v>2200</v>
      </c>
      <c r="I1913" s="9">
        <v>438239</v>
      </c>
      <c r="J1913" s="9">
        <v>440439</v>
      </c>
      <c r="K1913" s="9">
        <v>438281</v>
      </c>
    </row>
    <row r="1914" spans="1:11" ht="15.75">
      <c r="A1914" s="5">
        <v>45888</v>
      </c>
      <c r="B1914" s="6" t="s">
        <v>12</v>
      </c>
      <c r="C1914" s="7">
        <v>13.87</v>
      </c>
      <c r="D1914" s="7">
        <v>10.5</v>
      </c>
      <c r="E1914" s="8">
        <v>1500</v>
      </c>
      <c r="F1914" s="6">
        <v>100</v>
      </c>
      <c r="G1914" s="6">
        <v>500</v>
      </c>
      <c r="H1914" s="9">
        <f t="shared" si="153"/>
        <v>2100</v>
      </c>
      <c r="I1914" s="9">
        <v>823083</v>
      </c>
      <c r="J1914" s="9">
        <v>825183</v>
      </c>
      <c r="K1914" s="10">
        <v>829424</v>
      </c>
    </row>
    <row r="1915" spans="1:11" ht="15.75">
      <c r="A1915" s="5">
        <v>45889</v>
      </c>
      <c r="B1915" s="6" t="s">
        <v>12</v>
      </c>
      <c r="C1915" s="7">
        <v>13.69</v>
      </c>
      <c r="D1915" s="7">
        <v>9.9</v>
      </c>
      <c r="E1915" s="8">
        <v>700</v>
      </c>
      <c r="F1915" s="8">
        <v>100</v>
      </c>
      <c r="G1915" s="8">
        <v>500</v>
      </c>
      <c r="H1915" s="9">
        <f t="shared" si="153"/>
        <v>1300</v>
      </c>
      <c r="I1915" s="9">
        <v>738187</v>
      </c>
      <c r="J1915" s="9">
        <v>739487</v>
      </c>
      <c r="K1915" s="10">
        <v>739487</v>
      </c>
    </row>
    <row r="1916" spans="1:11" ht="15.75">
      <c r="A1916" s="5">
        <v>45890</v>
      </c>
      <c r="B1916" s="6" t="s">
        <v>12</v>
      </c>
      <c r="C1916" s="7">
        <v>14.23</v>
      </c>
      <c r="D1916" s="7">
        <v>11.7</v>
      </c>
      <c r="E1916" s="8">
        <v>3000</v>
      </c>
      <c r="F1916" s="8">
        <v>1300</v>
      </c>
      <c r="G1916" s="6">
        <v>1700</v>
      </c>
      <c r="H1916" s="9">
        <f t="shared" si="153"/>
        <v>6000</v>
      </c>
      <c r="I1916" s="9">
        <v>978339</v>
      </c>
      <c r="J1916" s="9">
        <v>984339</v>
      </c>
      <c r="K1916" s="9">
        <v>984339</v>
      </c>
    </row>
    <row r="1917" spans="1:11" ht="15.75">
      <c r="A1917" s="5">
        <v>45891</v>
      </c>
      <c r="B1917" s="6" t="s">
        <v>12</v>
      </c>
      <c r="C1917" s="7">
        <v>14.93</v>
      </c>
      <c r="D1917" s="7">
        <v>14</v>
      </c>
      <c r="E1917" s="8">
        <v>4600</v>
      </c>
      <c r="F1917" s="8">
        <v>2000</v>
      </c>
      <c r="G1917" s="6">
        <v>5000</v>
      </c>
      <c r="H1917" s="9">
        <f t="shared" si="153"/>
        <v>11600</v>
      </c>
      <c r="I1917" s="9">
        <v>1314214</v>
      </c>
      <c r="J1917" s="9">
        <v>1325014</v>
      </c>
      <c r="K1917" s="9">
        <v>1325014</v>
      </c>
    </row>
    <row r="1918" spans="1:11" ht="15.75">
      <c r="A1918" s="5">
        <v>45892</v>
      </c>
      <c r="B1918" s="6" t="s">
        <v>12</v>
      </c>
      <c r="C1918" s="7">
        <v>14.75</v>
      </c>
      <c r="D1918" s="7">
        <v>13.4</v>
      </c>
      <c r="E1918" s="8">
        <v>4600</v>
      </c>
      <c r="F1918" s="8">
        <v>2000</v>
      </c>
      <c r="G1918" s="8">
        <v>6000</v>
      </c>
      <c r="H1918" s="9">
        <f t="shared" si="153"/>
        <v>12600</v>
      </c>
      <c r="I1918" s="9">
        <v>1234934</v>
      </c>
      <c r="J1918" s="9">
        <v>1247534</v>
      </c>
      <c r="K1918" s="9">
        <v>1247534</v>
      </c>
    </row>
    <row r="1919" spans="1:11" ht="15.75">
      <c r="A1919" s="5">
        <v>45893</v>
      </c>
      <c r="B1919" s="6" t="s">
        <v>12</v>
      </c>
      <c r="C1919" s="7">
        <v>13.72</v>
      </c>
      <c r="D1919" s="7">
        <v>10</v>
      </c>
      <c r="E1919" s="8">
        <v>4600</v>
      </c>
      <c r="F1919" s="8">
        <v>2300</v>
      </c>
      <c r="G1919" s="6">
        <v>7000</v>
      </c>
      <c r="H1919" s="9">
        <f t="shared" si="153"/>
        <v>13900</v>
      </c>
      <c r="I1919" s="9">
        <v>752579</v>
      </c>
      <c r="J1919" s="9">
        <v>766479</v>
      </c>
      <c r="K1919" s="9">
        <v>764164</v>
      </c>
    </row>
    <row r="1920" spans="1:11" ht="15.75">
      <c r="A1920" s="5">
        <v>45894</v>
      </c>
      <c r="B1920" s="6" t="s">
        <v>12</v>
      </c>
      <c r="C1920" s="7">
        <v>13.11</v>
      </c>
      <c r="D1920" s="7">
        <v>8</v>
      </c>
      <c r="E1920" s="8">
        <v>4600</v>
      </c>
      <c r="F1920" s="8">
        <v>2500</v>
      </c>
      <c r="G1920" s="6">
        <v>7000</v>
      </c>
      <c r="H1920" s="9">
        <f t="shared" si="153"/>
        <v>14100</v>
      </c>
      <c r="I1920" s="9">
        <v>396639</v>
      </c>
      <c r="J1920" s="9">
        <v>410739</v>
      </c>
      <c r="K1920" s="9">
        <v>406062</v>
      </c>
    </row>
    <row r="1921" spans="1:11" ht="15.75">
      <c r="A1921" s="5">
        <v>45895</v>
      </c>
      <c r="B1921" s="6" t="s">
        <v>12</v>
      </c>
      <c r="C1921" s="7">
        <v>13.81</v>
      </c>
      <c r="D1921" s="7">
        <v>10.3</v>
      </c>
      <c r="E1921" s="8">
        <v>4900</v>
      </c>
      <c r="F1921" s="8">
        <v>2500</v>
      </c>
      <c r="G1921" s="6">
        <v>7000</v>
      </c>
      <c r="H1921" s="9">
        <f t="shared" si="153"/>
        <v>14400</v>
      </c>
      <c r="I1921" s="9">
        <v>463920</v>
      </c>
      <c r="J1921" s="9">
        <v>478320</v>
      </c>
      <c r="K1921" s="9">
        <v>483392</v>
      </c>
    </row>
    <row r="1922" spans="1:11" ht="15.75">
      <c r="A1922" s="5">
        <v>45896</v>
      </c>
      <c r="B1922" s="6" t="s">
        <v>12</v>
      </c>
      <c r="C1922" s="7">
        <v>13.66</v>
      </c>
      <c r="D1922" s="7">
        <v>9.8000000000000007</v>
      </c>
      <c r="E1922" s="8">
        <v>4900</v>
      </c>
      <c r="F1922" s="8">
        <v>1500</v>
      </c>
      <c r="G1922" s="6">
        <v>7000</v>
      </c>
      <c r="H1922" s="9">
        <f t="shared" si="153"/>
        <v>13400</v>
      </c>
      <c r="I1922" s="9">
        <v>409420</v>
      </c>
      <c r="J1922" s="9">
        <v>422640</v>
      </c>
      <c r="K1922" s="9">
        <v>421482</v>
      </c>
    </row>
    <row r="1923" spans="1:11" ht="15.75">
      <c r="A1923" s="5">
        <v>45897</v>
      </c>
      <c r="B1923" s="6" t="s">
        <v>12</v>
      </c>
      <c r="C1923" s="7">
        <v>13.78</v>
      </c>
      <c r="D1923" s="7">
        <v>10.199999999999999</v>
      </c>
      <c r="E1923" s="8">
        <v>2700</v>
      </c>
      <c r="F1923" s="8">
        <v>1500</v>
      </c>
      <c r="G1923" s="6">
        <v>2000</v>
      </c>
      <c r="H1923" s="9">
        <f t="shared" si="153"/>
        <v>6200</v>
      </c>
      <c r="I1923" s="9">
        <v>524431</v>
      </c>
      <c r="J1923" s="9">
        <v>530631</v>
      </c>
      <c r="K1923" s="9">
        <v>531557</v>
      </c>
    </row>
    <row r="1924" spans="1:11" ht="15.75">
      <c r="A1924" s="5">
        <v>45898</v>
      </c>
      <c r="B1924" s="6" t="s">
        <v>12</v>
      </c>
      <c r="C1924" s="7">
        <v>13.99</v>
      </c>
      <c r="D1924" s="7">
        <v>10.9</v>
      </c>
      <c r="E1924" s="8">
        <v>1600</v>
      </c>
      <c r="F1924" s="8">
        <v>700</v>
      </c>
      <c r="G1924" s="6">
        <v>2000</v>
      </c>
      <c r="H1924" s="9">
        <f t="shared" si="153"/>
        <v>4300</v>
      </c>
      <c r="I1924" s="9">
        <v>655143</v>
      </c>
      <c r="J1924" s="9">
        <v>659443</v>
      </c>
      <c r="K1924" s="9">
        <v>661064</v>
      </c>
    </row>
    <row r="1925" spans="1:11" ht="15.75">
      <c r="A1925" s="5">
        <v>45899</v>
      </c>
      <c r="B1925" s="6" t="s">
        <v>12</v>
      </c>
      <c r="C1925" s="7">
        <v>13.84</v>
      </c>
      <c r="D1925" s="7">
        <v>10.4</v>
      </c>
      <c r="E1925" s="8">
        <v>3500</v>
      </c>
      <c r="F1925" s="8">
        <v>700</v>
      </c>
      <c r="G1925" s="6">
        <v>4000</v>
      </c>
      <c r="H1925" s="9">
        <f t="shared" si="153"/>
        <v>8200</v>
      </c>
      <c r="I1925" s="9">
        <v>803397</v>
      </c>
      <c r="J1925" s="9">
        <v>811597</v>
      </c>
      <c r="K1925" s="9">
        <v>811597</v>
      </c>
    </row>
    <row r="1926" spans="1:11" ht="15.75">
      <c r="A1926" s="5">
        <v>45900</v>
      </c>
      <c r="B1926" s="6" t="s">
        <v>12</v>
      </c>
      <c r="C1926" s="7">
        <v>14.45</v>
      </c>
      <c r="D1926" s="7">
        <v>12.4</v>
      </c>
      <c r="E1926" s="8">
        <v>4700</v>
      </c>
      <c r="F1926" s="8">
        <v>1500</v>
      </c>
      <c r="G1926" s="6">
        <v>5500</v>
      </c>
      <c r="H1926" s="9">
        <f t="shared" si="153"/>
        <v>11700</v>
      </c>
      <c r="I1926" s="9">
        <v>1083908</v>
      </c>
      <c r="J1926" s="9">
        <v>1095608</v>
      </c>
      <c r="K1926" s="9">
        <v>1095608</v>
      </c>
    </row>
    <row r="1927" spans="1:11" ht="15.75">
      <c r="A1927" s="2" t="s">
        <v>13</v>
      </c>
      <c r="B1927" s="2"/>
      <c r="C1927" s="2"/>
      <c r="D1927" s="2"/>
      <c r="E1927" s="11">
        <f t="shared" ref="E1927:K1927" si="154">SUM(E1896:E1926)</f>
        <v>118800</v>
      </c>
      <c r="F1927" s="11">
        <f t="shared" si="154"/>
        <v>54900</v>
      </c>
      <c r="G1927" s="11">
        <f t="shared" si="154"/>
        <v>147700</v>
      </c>
      <c r="H1927" s="11">
        <f t="shared" si="154"/>
        <v>321400</v>
      </c>
      <c r="I1927" s="11">
        <f t="shared" si="154"/>
        <v>14114608</v>
      </c>
      <c r="J1927" s="11">
        <f t="shared" si="154"/>
        <v>14435018</v>
      </c>
      <c r="K1927" s="11">
        <f t="shared" si="154"/>
        <v>14436812</v>
      </c>
    </row>
    <row r="1928" spans="1:11" ht="15.75">
      <c r="A1928" s="12"/>
      <c r="B1928" s="2"/>
      <c r="C1928" s="2"/>
      <c r="D1928" s="2"/>
      <c r="E1928" s="13">
        <f t="shared" ref="E1928:K1928" si="155">SUM(E1927/11575)</f>
        <v>10.263498920086393</v>
      </c>
      <c r="F1928" s="13">
        <f t="shared" si="155"/>
        <v>4.7429805615550755</v>
      </c>
      <c r="G1928" s="13">
        <f t="shared" si="155"/>
        <v>12.760259179265658</v>
      </c>
      <c r="H1928" s="13">
        <f t="shared" si="155"/>
        <v>27.766738660907127</v>
      </c>
      <c r="I1928" s="13">
        <f t="shared" si="155"/>
        <v>1219.4045788336932</v>
      </c>
      <c r="J1928" s="13">
        <f t="shared" si="155"/>
        <v>1247.0857883369331</v>
      </c>
      <c r="K1928" s="13">
        <f t="shared" si="155"/>
        <v>1247.2407775377969</v>
      </c>
    </row>
    <row r="1929" spans="1:11" ht="15.75">
      <c r="A1929" s="1" t="s">
        <v>77</v>
      </c>
      <c r="B1929" s="1"/>
      <c r="C1929" s="1"/>
      <c r="D1929" s="1"/>
      <c r="E1929" s="1"/>
      <c r="F1929" s="1"/>
      <c r="G1929" s="1"/>
      <c r="H1929" s="1"/>
      <c r="I1929" s="1"/>
      <c r="J1929" s="1"/>
      <c r="K1929" s="1"/>
    </row>
    <row r="1930" spans="1:11" ht="47.25">
      <c r="A1930" s="2" t="s">
        <v>1</v>
      </c>
      <c r="B1930" s="2" t="s">
        <v>2</v>
      </c>
      <c r="C1930" s="3" t="s">
        <v>18</v>
      </c>
      <c r="D1930" s="3" t="s">
        <v>4</v>
      </c>
      <c r="E1930" s="3" t="s">
        <v>5</v>
      </c>
      <c r="F1930" s="3" t="s">
        <v>6</v>
      </c>
      <c r="G1930" s="3" t="s">
        <v>7</v>
      </c>
      <c r="H1930" s="3" t="s">
        <v>8</v>
      </c>
      <c r="I1930" s="3" t="s">
        <v>9</v>
      </c>
      <c r="J1930" s="3" t="s">
        <v>19</v>
      </c>
      <c r="K1930" s="4" t="s">
        <v>11</v>
      </c>
    </row>
    <row r="1931" spans="1:11" ht="15.75">
      <c r="A1931" s="5">
        <v>45901</v>
      </c>
      <c r="B1931" s="6" t="s">
        <v>12</v>
      </c>
      <c r="C1931" s="7">
        <v>14.66</v>
      </c>
      <c r="D1931" s="7">
        <v>13.1</v>
      </c>
      <c r="E1931" s="8">
        <v>4700</v>
      </c>
      <c r="F1931" s="8">
        <v>2300</v>
      </c>
      <c r="G1931" s="6">
        <v>5500</v>
      </c>
      <c r="H1931" s="14">
        <f>E1931+F1931+G1931</f>
        <v>12500</v>
      </c>
      <c r="I1931" s="9">
        <v>1179236</v>
      </c>
      <c r="J1931" s="9">
        <v>1191736</v>
      </c>
      <c r="K1931" s="9">
        <v>1191736</v>
      </c>
    </row>
    <row r="1932" spans="1:11" ht="15.75">
      <c r="A1932" s="5">
        <v>45902</v>
      </c>
      <c r="B1932" s="6" t="s">
        <v>12</v>
      </c>
      <c r="C1932" s="7">
        <v>14.51</v>
      </c>
      <c r="D1932" s="7">
        <v>12.6</v>
      </c>
      <c r="E1932" s="8">
        <v>4900</v>
      </c>
      <c r="F1932" s="8">
        <v>2300</v>
      </c>
      <c r="G1932" s="6">
        <v>6500</v>
      </c>
      <c r="H1932" s="9">
        <f t="shared" ref="H1932:H1960" si="156">E1932+F1932+G1932</f>
        <v>13700</v>
      </c>
      <c r="I1932" s="9">
        <v>1100118</v>
      </c>
      <c r="J1932" s="9">
        <v>1113818</v>
      </c>
      <c r="K1932" s="9">
        <v>1113818</v>
      </c>
    </row>
    <row r="1933" spans="1:11" ht="15.75">
      <c r="A1933" s="5">
        <v>45903</v>
      </c>
      <c r="B1933" s="6" t="s">
        <v>12</v>
      </c>
      <c r="C1933" s="7">
        <v>14.05</v>
      </c>
      <c r="D1933" s="7">
        <v>11.1</v>
      </c>
      <c r="E1933" s="8">
        <v>4900</v>
      </c>
      <c r="F1933" s="8">
        <v>2300</v>
      </c>
      <c r="G1933" s="8">
        <v>5000</v>
      </c>
      <c r="H1933" s="9">
        <f t="shared" si="156"/>
        <v>12200</v>
      </c>
      <c r="I1933" s="9">
        <v>893237</v>
      </c>
      <c r="J1933" s="9">
        <v>905437</v>
      </c>
      <c r="K1933" s="10">
        <v>905437</v>
      </c>
    </row>
    <row r="1934" spans="1:11" ht="15.75">
      <c r="A1934" s="5">
        <v>45904</v>
      </c>
      <c r="B1934" s="6" t="s">
        <v>12</v>
      </c>
      <c r="C1934" s="7">
        <v>13.87</v>
      </c>
      <c r="D1934" s="7">
        <v>10.5</v>
      </c>
      <c r="E1934" s="8">
        <v>4900</v>
      </c>
      <c r="F1934" s="8">
        <v>2300</v>
      </c>
      <c r="G1934" s="8">
        <v>5000</v>
      </c>
      <c r="H1934" s="9">
        <f t="shared" si="156"/>
        <v>12200</v>
      </c>
      <c r="I1934" s="9">
        <v>810780</v>
      </c>
      <c r="J1934" s="9">
        <v>822980</v>
      </c>
      <c r="K1934" s="10">
        <v>822980</v>
      </c>
    </row>
    <row r="1935" spans="1:11" ht="15.75">
      <c r="A1935" s="5">
        <v>45905</v>
      </c>
      <c r="B1935" s="6" t="s">
        <v>12</v>
      </c>
      <c r="C1935" s="7">
        <v>14.17</v>
      </c>
      <c r="D1935" s="7">
        <v>11.5</v>
      </c>
      <c r="E1935" s="8">
        <v>4900</v>
      </c>
      <c r="F1935" s="8">
        <v>2300</v>
      </c>
      <c r="G1935" s="8">
        <v>5000</v>
      </c>
      <c r="H1935" s="9">
        <f t="shared" si="156"/>
        <v>12200</v>
      </c>
      <c r="I1935" s="9">
        <v>941785</v>
      </c>
      <c r="J1935" s="9">
        <v>953985</v>
      </c>
      <c r="K1935" s="10">
        <v>953985</v>
      </c>
    </row>
    <row r="1936" spans="1:11" ht="15.75">
      <c r="A1936" s="5">
        <v>45906</v>
      </c>
      <c r="B1936" s="6" t="s">
        <v>12</v>
      </c>
      <c r="C1936" s="7">
        <v>13.96</v>
      </c>
      <c r="D1936" s="7">
        <v>10.8</v>
      </c>
      <c r="E1936" s="8">
        <v>4900</v>
      </c>
      <c r="F1936" s="8">
        <v>2300</v>
      </c>
      <c r="G1936" s="8">
        <v>5500</v>
      </c>
      <c r="H1936" s="9">
        <f t="shared" si="156"/>
        <v>12700</v>
      </c>
      <c r="I1936" s="9">
        <v>850694</v>
      </c>
      <c r="J1936" s="9">
        <v>863394</v>
      </c>
      <c r="K1936" s="10">
        <v>863394</v>
      </c>
    </row>
    <row r="1937" spans="1:11" ht="15.75">
      <c r="A1937" s="5">
        <v>45907</v>
      </c>
      <c r="B1937" s="6" t="s">
        <v>12</v>
      </c>
      <c r="C1937" s="7">
        <v>13.47</v>
      </c>
      <c r="D1937" s="7">
        <v>9.1999999999999993</v>
      </c>
      <c r="E1937" s="8">
        <v>4900</v>
      </c>
      <c r="F1937" s="8">
        <v>2300</v>
      </c>
      <c r="G1937" s="8">
        <v>7000</v>
      </c>
      <c r="H1937" s="9">
        <f t="shared" si="156"/>
        <v>14200</v>
      </c>
      <c r="I1937" s="9">
        <v>651488</v>
      </c>
      <c r="J1937" s="9">
        <v>665688</v>
      </c>
      <c r="K1937" s="10">
        <v>665688</v>
      </c>
    </row>
    <row r="1938" spans="1:11" ht="15.75">
      <c r="A1938" s="5">
        <v>45908</v>
      </c>
      <c r="B1938" s="6" t="s">
        <v>12</v>
      </c>
      <c r="C1938" s="7">
        <v>13.63</v>
      </c>
      <c r="D1938" s="7">
        <v>9.6999999999999993</v>
      </c>
      <c r="E1938" s="8">
        <v>4900</v>
      </c>
      <c r="F1938" s="8">
        <v>2100</v>
      </c>
      <c r="G1938" s="8">
        <v>7000</v>
      </c>
      <c r="H1938" s="9">
        <f t="shared" si="156"/>
        <v>14000</v>
      </c>
      <c r="I1938" s="9">
        <v>492359</v>
      </c>
      <c r="J1938" s="9">
        <v>506389</v>
      </c>
      <c r="K1938" s="10">
        <v>507593</v>
      </c>
    </row>
    <row r="1939" spans="1:11" ht="15.75">
      <c r="A1939" s="5">
        <v>45909</v>
      </c>
      <c r="B1939" s="6" t="s">
        <v>12</v>
      </c>
      <c r="C1939" s="7">
        <v>13.63</v>
      </c>
      <c r="D1939" s="7">
        <v>9.6999999999999993</v>
      </c>
      <c r="E1939" s="8">
        <v>4900</v>
      </c>
      <c r="F1939" s="8">
        <v>2100</v>
      </c>
      <c r="G1939" s="8">
        <v>7000</v>
      </c>
      <c r="H1939" s="9">
        <f t="shared" si="156"/>
        <v>14000</v>
      </c>
      <c r="I1939" s="9">
        <v>364658</v>
      </c>
      <c r="J1939" s="9">
        <v>378658</v>
      </c>
      <c r="K1939" s="9">
        <v>378658</v>
      </c>
    </row>
    <row r="1940" spans="1:11" ht="15.75">
      <c r="A1940" s="5">
        <v>45910</v>
      </c>
      <c r="B1940" s="6" t="s">
        <v>12</v>
      </c>
      <c r="C1940" s="7">
        <v>13.63</v>
      </c>
      <c r="D1940" s="7">
        <v>9.6999999999999993</v>
      </c>
      <c r="E1940" s="8">
        <v>3300</v>
      </c>
      <c r="F1940" s="8">
        <v>2400</v>
      </c>
      <c r="G1940" s="8">
        <v>7000</v>
      </c>
      <c r="H1940" s="9">
        <f t="shared" si="156"/>
        <v>12700</v>
      </c>
      <c r="I1940" s="9">
        <v>369314</v>
      </c>
      <c r="J1940" s="9">
        <v>382014</v>
      </c>
      <c r="K1940" s="9">
        <v>382014</v>
      </c>
    </row>
    <row r="1941" spans="1:11" ht="15.75">
      <c r="A1941" s="5">
        <v>45911</v>
      </c>
      <c r="B1941" s="6" t="s">
        <v>12</v>
      </c>
      <c r="C1941" s="7">
        <v>13.53</v>
      </c>
      <c r="D1941" s="7">
        <v>9.4</v>
      </c>
      <c r="E1941" s="8">
        <v>4900</v>
      </c>
      <c r="F1941" s="6">
        <v>2400</v>
      </c>
      <c r="G1941" s="8">
        <v>7000</v>
      </c>
      <c r="H1941" s="9">
        <f t="shared" si="156"/>
        <v>14300</v>
      </c>
      <c r="I1941" s="9">
        <v>318828</v>
      </c>
      <c r="J1941" s="9">
        <v>333128</v>
      </c>
      <c r="K1941" s="10">
        <v>332357</v>
      </c>
    </row>
    <row r="1942" spans="1:11" ht="15.75">
      <c r="A1942" s="5">
        <v>45912</v>
      </c>
      <c r="B1942" s="6" t="s">
        <v>12</v>
      </c>
      <c r="C1942" s="7">
        <v>13.78</v>
      </c>
      <c r="D1942" s="7">
        <v>10.199999999999999</v>
      </c>
      <c r="E1942" s="8">
        <v>3300</v>
      </c>
      <c r="F1942" s="6">
        <v>2400</v>
      </c>
      <c r="G1942" s="8">
        <v>7000</v>
      </c>
      <c r="H1942" s="9">
        <f t="shared" si="156"/>
        <v>12700</v>
      </c>
      <c r="I1942" s="9">
        <v>374101</v>
      </c>
      <c r="J1942" s="9">
        <v>386801</v>
      </c>
      <c r="K1942" s="10">
        <v>388729</v>
      </c>
    </row>
    <row r="1943" spans="1:11" ht="15.75">
      <c r="A1943" s="5">
        <v>45913</v>
      </c>
      <c r="B1943" s="6" t="s">
        <v>12</v>
      </c>
      <c r="C1943" s="7">
        <v>13.32</v>
      </c>
      <c r="D1943" s="7">
        <v>8.6999999999999993</v>
      </c>
      <c r="E1943" s="8">
        <v>4200</v>
      </c>
      <c r="F1943" s="6">
        <v>2000</v>
      </c>
      <c r="G1943" s="8">
        <v>6000</v>
      </c>
      <c r="H1943" s="9">
        <f t="shared" si="156"/>
        <v>12200</v>
      </c>
      <c r="I1943" s="9">
        <v>351742</v>
      </c>
      <c r="J1943" s="9">
        <v>363942</v>
      </c>
      <c r="K1943" s="10">
        <v>360395</v>
      </c>
    </row>
    <row r="1944" spans="1:11" ht="15.75">
      <c r="A1944" s="5">
        <v>45914</v>
      </c>
      <c r="B1944" s="6" t="s">
        <v>12</v>
      </c>
      <c r="C1944" s="7">
        <v>13.66</v>
      </c>
      <c r="D1944" s="7">
        <v>9.8000000000000007</v>
      </c>
      <c r="E1944" s="8">
        <v>4800</v>
      </c>
      <c r="F1944" s="6">
        <v>2000</v>
      </c>
      <c r="G1944" s="8">
        <v>5000</v>
      </c>
      <c r="H1944" s="9">
        <f t="shared" si="156"/>
        <v>11800</v>
      </c>
      <c r="I1944" s="9">
        <v>469512</v>
      </c>
      <c r="J1944" s="9">
        <v>481312</v>
      </c>
      <c r="K1944" s="10">
        <v>483933</v>
      </c>
    </row>
    <row r="1945" spans="1:11" ht="15.75">
      <c r="A1945" s="5">
        <v>45915</v>
      </c>
      <c r="B1945" s="6" t="s">
        <v>12</v>
      </c>
      <c r="C1945" s="7">
        <v>13.44</v>
      </c>
      <c r="D1945" s="7">
        <v>9.1</v>
      </c>
      <c r="E1945" s="8">
        <v>4800</v>
      </c>
      <c r="F1945" s="6">
        <v>2000</v>
      </c>
      <c r="G1945" s="8">
        <v>3500</v>
      </c>
      <c r="H1945" s="9">
        <f t="shared" si="156"/>
        <v>10300</v>
      </c>
      <c r="I1945" s="9">
        <v>528476</v>
      </c>
      <c r="J1945" s="9">
        <v>538776</v>
      </c>
      <c r="K1945" s="10">
        <v>537079</v>
      </c>
    </row>
    <row r="1946" spans="1:11" ht="15.75">
      <c r="A1946" s="5">
        <v>45916</v>
      </c>
      <c r="B1946" s="6" t="s">
        <v>12</v>
      </c>
      <c r="C1946" s="7">
        <v>13.87</v>
      </c>
      <c r="D1946" s="7">
        <v>10.5</v>
      </c>
      <c r="E1946" s="8">
        <v>4800</v>
      </c>
      <c r="F1946" s="6">
        <v>1800</v>
      </c>
      <c r="G1946" s="8">
        <v>4500</v>
      </c>
      <c r="H1946" s="9">
        <f t="shared" si="156"/>
        <v>11100</v>
      </c>
      <c r="I1946" s="9">
        <v>584069</v>
      </c>
      <c r="J1946" s="9">
        <v>595169</v>
      </c>
      <c r="K1946" s="10">
        <v>598486</v>
      </c>
    </row>
    <row r="1947" spans="1:11" ht="15.75">
      <c r="A1947" s="5">
        <v>45917</v>
      </c>
      <c r="B1947" s="6" t="s">
        <v>12</v>
      </c>
      <c r="C1947" s="7">
        <v>13.69</v>
      </c>
      <c r="D1947" s="7">
        <v>9.9</v>
      </c>
      <c r="E1947" s="8">
        <v>3700</v>
      </c>
      <c r="F1947" s="6">
        <v>1600</v>
      </c>
      <c r="G1947" s="6">
        <v>4500</v>
      </c>
      <c r="H1947" s="9">
        <f t="shared" si="156"/>
        <v>9800</v>
      </c>
      <c r="I1947" s="9">
        <v>515651</v>
      </c>
      <c r="J1947" s="9">
        <v>525451</v>
      </c>
      <c r="K1947" s="10">
        <v>524062</v>
      </c>
    </row>
    <row r="1948" spans="1:11" ht="15.75">
      <c r="A1948" s="5">
        <v>45918</v>
      </c>
      <c r="B1948" s="6" t="s">
        <v>12</v>
      </c>
      <c r="C1948" s="7">
        <v>13.23</v>
      </c>
      <c r="D1948" s="7">
        <v>8.4</v>
      </c>
      <c r="E1948" s="8">
        <v>3700</v>
      </c>
      <c r="F1948" s="6">
        <v>1400</v>
      </c>
      <c r="G1948" s="6">
        <v>4500</v>
      </c>
      <c r="H1948" s="9">
        <f t="shared" si="156"/>
        <v>9600</v>
      </c>
      <c r="I1948" s="9">
        <v>322412</v>
      </c>
      <c r="J1948" s="9">
        <v>332012</v>
      </c>
      <c r="K1948" s="9">
        <v>328477</v>
      </c>
    </row>
    <row r="1949" spans="1:11" ht="15.75">
      <c r="A1949" s="5">
        <v>45919</v>
      </c>
      <c r="B1949" s="6" t="s">
        <v>12</v>
      </c>
      <c r="C1949" s="7">
        <v>13.63</v>
      </c>
      <c r="D1949" s="7">
        <v>9.6999999999999993</v>
      </c>
      <c r="E1949" s="8">
        <v>3700</v>
      </c>
      <c r="F1949" s="6">
        <v>1400</v>
      </c>
      <c r="G1949" s="6">
        <v>4500</v>
      </c>
      <c r="H1949" s="9">
        <f t="shared" si="156"/>
        <v>9600</v>
      </c>
      <c r="I1949" s="9">
        <v>489993</v>
      </c>
      <c r="J1949" s="9">
        <v>499593</v>
      </c>
      <c r="K1949" s="10">
        <v>502665</v>
      </c>
    </row>
    <row r="1950" spans="1:11" ht="15.75">
      <c r="A1950" s="5">
        <v>45920</v>
      </c>
      <c r="B1950" s="6" t="s">
        <v>12</v>
      </c>
      <c r="C1950" s="7">
        <v>13.66</v>
      </c>
      <c r="D1950" s="7">
        <v>9.8000000000000007</v>
      </c>
      <c r="E1950" s="8">
        <v>3700</v>
      </c>
      <c r="F1950" s="6">
        <v>1400</v>
      </c>
      <c r="G1950" s="8">
        <v>5500</v>
      </c>
      <c r="H1950" s="9">
        <f t="shared" si="156"/>
        <v>10600</v>
      </c>
      <c r="I1950" s="9">
        <v>505078</v>
      </c>
      <c r="J1950" s="9">
        <v>515678</v>
      </c>
      <c r="K1950" s="10">
        <v>515910</v>
      </c>
    </row>
    <row r="1951" spans="1:11" ht="15.75">
      <c r="A1951" s="5">
        <v>45921</v>
      </c>
      <c r="B1951" s="6" t="s">
        <v>12</v>
      </c>
      <c r="C1951" s="7">
        <v>13.6</v>
      </c>
      <c r="D1951" s="7">
        <v>9.6</v>
      </c>
      <c r="E1951" s="8">
        <v>4200</v>
      </c>
      <c r="F1951" s="8">
        <v>1400</v>
      </c>
      <c r="G1951" s="6">
        <v>5500</v>
      </c>
      <c r="H1951" s="9">
        <f t="shared" si="156"/>
        <v>11100</v>
      </c>
      <c r="I1951" s="9">
        <v>477214</v>
      </c>
      <c r="J1951" s="9">
        <v>488314</v>
      </c>
      <c r="K1951" s="9">
        <v>487851</v>
      </c>
    </row>
    <row r="1952" spans="1:11" ht="15.75">
      <c r="A1952" s="5">
        <v>45922</v>
      </c>
      <c r="B1952" s="6" t="s">
        <v>12</v>
      </c>
      <c r="C1952" s="7">
        <v>13.11</v>
      </c>
      <c r="D1952" s="7">
        <v>8</v>
      </c>
      <c r="E1952" s="8">
        <v>4200</v>
      </c>
      <c r="F1952" s="8">
        <v>1400</v>
      </c>
      <c r="G1952" s="6">
        <v>6000</v>
      </c>
      <c r="H1952" s="9">
        <f t="shared" si="156"/>
        <v>11600</v>
      </c>
      <c r="I1952" s="9">
        <v>364386</v>
      </c>
      <c r="J1952" s="9">
        <v>375986</v>
      </c>
      <c r="K1952" s="9">
        <v>372235</v>
      </c>
    </row>
    <row r="1953" spans="1:11" ht="15.75">
      <c r="A1953" s="5">
        <v>45923</v>
      </c>
      <c r="B1953" s="6" t="s">
        <v>12</v>
      </c>
      <c r="C1953" s="7">
        <v>13.72</v>
      </c>
      <c r="D1953" s="7">
        <v>10</v>
      </c>
      <c r="E1953" s="8">
        <v>4200</v>
      </c>
      <c r="F1953" s="8">
        <v>1800</v>
      </c>
      <c r="G1953" s="8">
        <v>6000</v>
      </c>
      <c r="H1953" s="9">
        <f t="shared" si="156"/>
        <v>12000</v>
      </c>
      <c r="I1953" s="9">
        <v>440755</v>
      </c>
      <c r="J1953" s="9">
        <v>452755</v>
      </c>
      <c r="K1953" s="9">
        <v>457432</v>
      </c>
    </row>
    <row r="1954" spans="1:11" ht="15.75">
      <c r="A1954" s="5">
        <v>45924</v>
      </c>
      <c r="B1954" s="6" t="s">
        <v>12</v>
      </c>
      <c r="C1954" s="7">
        <v>13.35</v>
      </c>
      <c r="D1954" s="7">
        <v>8.8000000000000007</v>
      </c>
      <c r="E1954" s="8">
        <v>4700</v>
      </c>
      <c r="F1954" s="8">
        <v>1800</v>
      </c>
      <c r="G1954" s="6">
        <v>5000</v>
      </c>
      <c r="H1954" s="9">
        <f t="shared" si="156"/>
        <v>11500</v>
      </c>
      <c r="I1954" s="9">
        <v>389055</v>
      </c>
      <c r="J1954" s="9">
        <v>400555</v>
      </c>
      <c r="K1954" s="9">
        <v>397699</v>
      </c>
    </row>
    <row r="1955" spans="1:11" ht="15.75">
      <c r="A1955" s="5">
        <v>45925</v>
      </c>
      <c r="B1955" s="6" t="s">
        <v>12</v>
      </c>
      <c r="C1955" s="7">
        <v>13.78</v>
      </c>
      <c r="D1955" s="7">
        <v>10.199999999999999</v>
      </c>
      <c r="E1955" s="8">
        <v>4700</v>
      </c>
      <c r="F1955" s="8">
        <v>1900</v>
      </c>
      <c r="G1955" s="6">
        <v>5000</v>
      </c>
      <c r="H1955" s="9">
        <f t="shared" si="156"/>
        <v>11600</v>
      </c>
      <c r="I1955" s="9">
        <v>452428</v>
      </c>
      <c r="J1955" s="9">
        <v>464028</v>
      </c>
      <c r="K1955" s="9">
        <v>467347</v>
      </c>
    </row>
    <row r="1956" spans="1:11" ht="15.75">
      <c r="A1956" s="5">
        <v>45926</v>
      </c>
      <c r="B1956" s="6" t="s">
        <v>12</v>
      </c>
      <c r="C1956" s="7">
        <v>13.93</v>
      </c>
      <c r="D1956" s="7">
        <v>10.7</v>
      </c>
      <c r="E1956" s="8">
        <v>4300</v>
      </c>
      <c r="F1956" s="8">
        <v>1900</v>
      </c>
      <c r="G1956" s="6">
        <v>5000</v>
      </c>
      <c r="H1956" s="9">
        <f t="shared" si="156"/>
        <v>11200</v>
      </c>
      <c r="I1956" s="9">
        <v>522112</v>
      </c>
      <c r="J1956" s="9">
        <v>533312</v>
      </c>
      <c r="K1956" s="9">
        <v>534470</v>
      </c>
    </row>
    <row r="1957" spans="1:11" ht="15.75">
      <c r="A1957" s="5">
        <v>45927</v>
      </c>
      <c r="B1957" s="6" t="s">
        <v>12</v>
      </c>
      <c r="C1957" s="7">
        <v>13.93</v>
      </c>
      <c r="D1957" s="7">
        <v>10.7</v>
      </c>
      <c r="E1957" s="8">
        <v>4300</v>
      </c>
      <c r="F1957" s="8">
        <v>1400</v>
      </c>
      <c r="G1957" s="6">
        <v>5000</v>
      </c>
      <c r="H1957" s="9">
        <f t="shared" si="156"/>
        <v>10700</v>
      </c>
      <c r="I1957" s="9">
        <v>609607</v>
      </c>
      <c r="J1957" s="9">
        <v>620307</v>
      </c>
      <c r="K1957" s="9">
        <v>602307</v>
      </c>
    </row>
    <row r="1958" spans="1:11" ht="15.75">
      <c r="A1958" s="5">
        <v>45928</v>
      </c>
      <c r="B1958" s="6" t="s">
        <v>12</v>
      </c>
      <c r="C1958" s="7">
        <v>14.48</v>
      </c>
      <c r="D1958" s="7">
        <v>12.5</v>
      </c>
      <c r="E1958" s="8">
        <v>3900</v>
      </c>
      <c r="F1958" s="8">
        <v>1400</v>
      </c>
      <c r="G1958" s="6">
        <v>5000</v>
      </c>
      <c r="H1958" s="9">
        <f t="shared" si="156"/>
        <v>10300</v>
      </c>
      <c r="I1958" s="9">
        <v>1078317</v>
      </c>
      <c r="J1958" s="9">
        <v>1088617</v>
      </c>
      <c r="K1958" s="9">
        <v>1088617</v>
      </c>
    </row>
    <row r="1959" spans="1:11" ht="15.75">
      <c r="A1959" s="5">
        <v>45929</v>
      </c>
      <c r="B1959" s="6" t="s">
        <v>12</v>
      </c>
      <c r="C1959" s="7">
        <v>14.23</v>
      </c>
      <c r="D1959" s="7">
        <v>11.7</v>
      </c>
      <c r="E1959" s="8">
        <v>3900</v>
      </c>
      <c r="F1959" s="8">
        <v>2100</v>
      </c>
      <c r="G1959" s="6">
        <v>5000</v>
      </c>
      <c r="H1959" s="9">
        <f t="shared" si="156"/>
        <v>11000</v>
      </c>
      <c r="I1959" s="9">
        <v>964757</v>
      </c>
      <c r="J1959" s="9">
        <v>975757</v>
      </c>
      <c r="K1959" s="9">
        <v>975757</v>
      </c>
    </row>
    <row r="1960" spans="1:11" ht="15.75">
      <c r="A1960" s="5">
        <v>45930</v>
      </c>
      <c r="B1960" s="6" t="s">
        <v>12</v>
      </c>
      <c r="C1960" s="7">
        <v>14.35</v>
      </c>
      <c r="D1960" s="7">
        <v>12</v>
      </c>
      <c r="E1960" s="8">
        <v>4400</v>
      </c>
      <c r="F1960" s="8">
        <v>2300</v>
      </c>
      <c r="G1960" s="6">
        <v>6000</v>
      </c>
      <c r="H1960" s="9">
        <f t="shared" si="156"/>
        <v>12700</v>
      </c>
      <c r="I1960" s="9">
        <v>1014576</v>
      </c>
      <c r="J1960" s="9">
        <v>1027276</v>
      </c>
      <c r="K1960" s="9">
        <v>1027276</v>
      </c>
    </row>
    <row r="1961" spans="1:11" ht="15.75">
      <c r="A1961" s="2" t="s">
        <v>13</v>
      </c>
      <c r="B1961" s="2"/>
      <c r="C1961" s="2"/>
      <c r="D1961" s="2"/>
      <c r="E1961" s="11">
        <f t="shared" ref="E1961:K1961" si="157">SUM(E1931:E1960)</f>
        <v>131600</v>
      </c>
      <c r="F1961" s="11">
        <f t="shared" si="157"/>
        <v>58500</v>
      </c>
      <c r="G1961" s="11">
        <f t="shared" si="157"/>
        <v>166000</v>
      </c>
      <c r="H1961" s="11">
        <f t="shared" si="157"/>
        <v>356100</v>
      </c>
      <c r="I1961" s="11">
        <f t="shared" si="157"/>
        <v>18426738</v>
      </c>
      <c r="J1961" s="11">
        <f t="shared" si="157"/>
        <v>18782868</v>
      </c>
      <c r="K1961" s="11">
        <f t="shared" si="157"/>
        <v>18768387</v>
      </c>
    </row>
    <row r="1962" spans="1:11" ht="15.75">
      <c r="A1962" s="12"/>
      <c r="B1962" s="2"/>
      <c r="C1962" s="2"/>
      <c r="D1962" s="2"/>
      <c r="E1962" s="13">
        <f t="shared" ref="E1962:K1962" si="158">SUM(E1961/11575)</f>
        <v>11.369330453563714</v>
      </c>
      <c r="F1962" s="13">
        <f t="shared" si="158"/>
        <v>5.0539956803455723</v>
      </c>
      <c r="G1962" s="13">
        <f t="shared" si="158"/>
        <v>14.341252699784016</v>
      </c>
      <c r="H1962" s="13">
        <f t="shared" si="158"/>
        <v>30.764578833693303</v>
      </c>
      <c r="I1962" s="13">
        <f t="shared" si="158"/>
        <v>1591.942807775378</v>
      </c>
      <c r="J1962" s="13">
        <f t="shared" si="158"/>
        <v>1622.7099784017278</v>
      </c>
      <c r="K1962" s="13">
        <f t="shared" si="158"/>
        <v>1621.4589200863932</v>
      </c>
    </row>
    <row r="1963" spans="1:11" ht="15.75">
      <c r="A1963" s="1" t="s">
        <v>78</v>
      </c>
      <c r="B1963" s="1"/>
      <c r="C1963" s="1"/>
      <c r="D1963" s="1"/>
      <c r="E1963" s="1"/>
      <c r="F1963" s="1"/>
      <c r="G1963" s="1"/>
      <c r="H1963" s="1"/>
      <c r="I1963" s="1"/>
      <c r="J1963" s="1"/>
      <c r="K1963" s="1"/>
    </row>
    <row r="1964" spans="1:11" ht="47.25">
      <c r="A1964" s="2" t="s">
        <v>1</v>
      </c>
      <c r="B1964" s="2" t="s">
        <v>2</v>
      </c>
      <c r="C1964" s="3" t="s">
        <v>18</v>
      </c>
      <c r="D1964" s="3" t="s">
        <v>4</v>
      </c>
      <c r="E1964" s="3" t="s">
        <v>5</v>
      </c>
      <c r="F1964" s="3" t="s">
        <v>6</v>
      </c>
      <c r="G1964" s="3" t="s">
        <v>7</v>
      </c>
      <c r="H1964" s="3" t="s">
        <v>8</v>
      </c>
      <c r="I1964" s="3" t="s">
        <v>9</v>
      </c>
      <c r="J1964" s="3" t="s">
        <v>19</v>
      </c>
      <c r="K1964" s="4" t="s">
        <v>11</v>
      </c>
    </row>
    <row r="1965" spans="1:11" ht="15.75">
      <c r="A1965" s="5">
        <v>45931</v>
      </c>
      <c r="B1965" s="6" t="s">
        <v>12</v>
      </c>
      <c r="C1965" s="7">
        <v>14.75</v>
      </c>
      <c r="D1965" s="7">
        <v>13.4</v>
      </c>
      <c r="E1965" s="8">
        <v>4400</v>
      </c>
      <c r="F1965" s="8">
        <v>2300</v>
      </c>
      <c r="G1965" s="6">
        <v>6500</v>
      </c>
      <c r="H1965" s="14">
        <f>E1965+F1965+G1965</f>
        <v>13200</v>
      </c>
      <c r="I1965" s="9">
        <v>1209229</v>
      </c>
      <c r="J1965" s="9">
        <v>1222429</v>
      </c>
      <c r="K1965" s="9">
        <v>1222429</v>
      </c>
    </row>
    <row r="1966" spans="1:11" ht="15.75">
      <c r="A1966" s="5">
        <v>45932</v>
      </c>
      <c r="B1966" s="6" t="s">
        <v>12</v>
      </c>
      <c r="C1966" s="7">
        <v>14.69</v>
      </c>
      <c r="D1966" s="7">
        <v>13.2</v>
      </c>
      <c r="E1966" s="8">
        <v>4400</v>
      </c>
      <c r="F1966" s="8">
        <v>1900</v>
      </c>
      <c r="G1966" s="6">
        <v>6500</v>
      </c>
      <c r="H1966" s="9">
        <f t="shared" ref="H1966:H1995" si="159">E1966+F1966+G1966</f>
        <v>12800</v>
      </c>
      <c r="I1966" s="9">
        <v>1179148</v>
      </c>
      <c r="J1966" s="9">
        <v>1191948</v>
      </c>
      <c r="K1966" s="9">
        <v>1191948</v>
      </c>
    </row>
    <row r="1967" spans="1:11" ht="15.75">
      <c r="A1967" s="5">
        <v>45933</v>
      </c>
      <c r="B1967" s="6" t="s">
        <v>12</v>
      </c>
      <c r="C1967" s="7">
        <v>14.17</v>
      </c>
      <c r="D1967" s="7">
        <v>11.5</v>
      </c>
      <c r="E1967" s="8">
        <v>4400</v>
      </c>
      <c r="F1967" s="8">
        <v>1700</v>
      </c>
      <c r="G1967" s="8">
        <v>6500</v>
      </c>
      <c r="H1967" s="9">
        <f t="shared" si="159"/>
        <v>12600</v>
      </c>
      <c r="I1967" s="9">
        <v>919064</v>
      </c>
      <c r="J1967" s="9">
        <v>931664</v>
      </c>
      <c r="K1967" s="10">
        <v>931664</v>
      </c>
    </row>
    <row r="1968" spans="1:11" ht="15.75">
      <c r="A1968" s="5">
        <v>45934</v>
      </c>
      <c r="B1968" s="6" t="s">
        <v>12</v>
      </c>
      <c r="C1968" s="7">
        <v>13.6</v>
      </c>
      <c r="D1968" s="7">
        <v>9.6</v>
      </c>
      <c r="E1968" s="8">
        <v>4400</v>
      </c>
      <c r="F1968" s="8">
        <v>2100</v>
      </c>
      <c r="G1968" s="8">
        <v>6500</v>
      </c>
      <c r="H1968" s="9">
        <f t="shared" si="159"/>
        <v>13000</v>
      </c>
      <c r="I1968" s="9">
        <v>668832</v>
      </c>
      <c r="J1968" s="9">
        <v>681832</v>
      </c>
      <c r="K1968" s="10">
        <v>681832</v>
      </c>
    </row>
    <row r="1969" spans="1:11" ht="15.75">
      <c r="A1969" s="5">
        <v>45935</v>
      </c>
      <c r="B1969" s="6" t="s">
        <v>12</v>
      </c>
      <c r="C1969" s="7">
        <v>13.26</v>
      </c>
      <c r="D1969" s="7">
        <v>8.5</v>
      </c>
      <c r="E1969" s="8">
        <v>4400</v>
      </c>
      <c r="F1969" s="8">
        <v>2300</v>
      </c>
      <c r="G1969" s="8">
        <v>6500</v>
      </c>
      <c r="H1969" s="9">
        <f t="shared" si="159"/>
        <v>13200</v>
      </c>
      <c r="I1969" s="9">
        <v>525148</v>
      </c>
      <c r="J1969" s="9">
        <v>538348</v>
      </c>
      <c r="K1969" s="10">
        <v>535734</v>
      </c>
    </row>
    <row r="1970" spans="1:11" ht="15.75">
      <c r="A1970" s="5">
        <v>45936</v>
      </c>
      <c r="B1970" s="6" t="s">
        <v>12</v>
      </c>
      <c r="C1970" s="7">
        <v>13.29</v>
      </c>
      <c r="D1970" s="7">
        <v>8.6</v>
      </c>
      <c r="E1970" s="8">
        <v>4700</v>
      </c>
      <c r="F1970" s="8">
        <v>2300</v>
      </c>
      <c r="G1970" s="8">
        <v>6500</v>
      </c>
      <c r="H1970" s="9">
        <f t="shared" si="159"/>
        <v>13500</v>
      </c>
      <c r="I1970" s="9">
        <v>411584</v>
      </c>
      <c r="J1970" s="9">
        <v>425084</v>
      </c>
      <c r="K1970" s="10">
        <v>425312</v>
      </c>
    </row>
    <row r="1971" spans="1:11" ht="15.75">
      <c r="A1971" s="5">
        <v>45937</v>
      </c>
      <c r="B1971" s="6" t="s">
        <v>12</v>
      </c>
      <c r="C1971" s="7">
        <v>13.26</v>
      </c>
      <c r="D1971" s="7">
        <v>8.5</v>
      </c>
      <c r="E1971" s="8">
        <v>4700</v>
      </c>
      <c r="F1971" s="8">
        <v>2300</v>
      </c>
      <c r="G1971" s="8">
        <v>6500</v>
      </c>
      <c r="H1971" s="9">
        <f t="shared" si="159"/>
        <v>13500</v>
      </c>
      <c r="I1971" s="9">
        <v>363873</v>
      </c>
      <c r="J1971" s="9">
        <v>377373</v>
      </c>
      <c r="K1971" s="10">
        <v>377145</v>
      </c>
    </row>
    <row r="1972" spans="1:11" ht="15.75">
      <c r="A1972" s="5">
        <v>45938</v>
      </c>
      <c r="B1972" s="6" t="s">
        <v>12</v>
      </c>
      <c r="C1972" s="7">
        <v>13.99</v>
      </c>
      <c r="D1972" s="7">
        <v>10.9</v>
      </c>
      <c r="E1972" s="8">
        <v>4700</v>
      </c>
      <c r="F1972" s="8">
        <v>2300</v>
      </c>
      <c r="G1972" s="8">
        <v>7000</v>
      </c>
      <c r="H1972" s="9">
        <f t="shared" si="159"/>
        <v>14000</v>
      </c>
      <c r="I1972" s="9">
        <v>311038</v>
      </c>
      <c r="J1972" s="9">
        <v>325038</v>
      </c>
      <c r="K1972" s="10">
        <v>325038</v>
      </c>
    </row>
    <row r="1973" spans="1:11" ht="15.75">
      <c r="A1973" s="5">
        <v>45939</v>
      </c>
      <c r="B1973" s="6" t="s">
        <v>12</v>
      </c>
      <c r="C1973" s="7">
        <v>13.81</v>
      </c>
      <c r="D1973" s="7">
        <v>10.3</v>
      </c>
      <c r="E1973" s="8">
        <v>4400</v>
      </c>
      <c r="F1973" s="8">
        <v>2300</v>
      </c>
      <c r="G1973" s="8">
        <v>7000</v>
      </c>
      <c r="H1973" s="9">
        <f t="shared" si="159"/>
        <v>13700</v>
      </c>
      <c r="I1973" s="9">
        <v>382012</v>
      </c>
      <c r="J1973" s="9">
        <v>398712</v>
      </c>
      <c r="K1973" s="9">
        <v>395712</v>
      </c>
    </row>
    <row r="1974" spans="1:11" ht="15.75">
      <c r="A1974" s="5">
        <v>45940</v>
      </c>
      <c r="B1974" s="6" t="s">
        <v>12</v>
      </c>
      <c r="C1974" s="7">
        <v>13.99</v>
      </c>
      <c r="D1974" s="7">
        <v>10.9</v>
      </c>
      <c r="E1974" s="8">
        <v>4400</v>
      </c>
      <c r="F1974" s="8">
        <v>2300</v>
      </c>
      <c r="G1974" s="8">
        <v>7000</v>
      </c>
      <c r="H1974" s="9">
        <f t="shared" si="159"/>
        <v>13700</v>
      </c>
      <c r="I1974" s="9">
        <v>443239</v>
      </c>
      <c r="J1974" s="9">
        <v>456939</v>
      </c>
      <c r="K1974" s="9">
        <v>456939</v>
      </c>
    </row>
    <row r="1975" spans="1:11" ht="15.75">
      <c r="A1975" s="5">
        <v>45941</v>
      </c>
      <c r="B1975" s="6" t="s">
        <v>12</v>
      </c>
      <c r="C1975" s="7">
        <v>13.35</v>
      </c>
      <c r="D1975" s="7">
        <v>8.8000000000000007</v>
      </c>
      <c r="E1975" s="8">
        <v>4100</v>
      </c>
      <c r="F1975" s="6">
        <v>2300</v>
      </c>
      <c r="G1975" s="8">
        <v>5000</v>
      </c>
      <c r="H1975" s="9">
        <f t="shared" si="159"/>
        <v>11400</v>
      </c>
      <c r="I1975" s="9">
        <v>332505</v>
      </c>
      <c r="J1975" s="9">
        <v>343905</v>
      </c>
      <c r="K1975" s="10">
        <v>341666</v>
      </c>
    </row>
    <row r="1976" spans="1:11" ht="15.75">
      <c r="A1976" s="5">
        <v>45942</v>
      </c>
      <c r="B1976" s="6" t="s">
        <v>12</v>
      </c>
      <c r="C1976" s="7">
        <v>13.99</v>
      </c>
      <c r="D1976" s="7">
        <v>10.9</v>
      </c>
      <c r="E1976" s="8">
        <v>4100</v>
      </c>
      <c r="F1976" s="6">
        <v>2300</v>
      </c>
      <c r="G1976" s="8">
        <v>5000</v>
      </c>
      <c r="H1976" s="9">
        <f t="shared" si="159"/>
        <v>11400</v>
      </c>
      <c r="I1976" s="9">
        <v>322406</v>
      </c>
      <c r="J1976" s="9">
        <v>333806</v>
      </c>
      <c r="K1976" s="10">
        <v>333806</v>
      </c>
    </row>
    <row r="1977" spans="1:11" ht="15.75">
      <c r="A1977" s="5">
        <v>45943</v>
      </c>
      <c r="B1977" s="6" t="s">
        <v>12</v>
      </c>
      <c r="C1977" s="7">
        <v>13.87</v>
      </c>
      <c r="D1977" s="7">
        <v>10.5</v>
      </c>
      <c r="E1977" s="8">
        <v>3700</v>
      </c>
      <c r="F1977" s="6">
        <v>2300</v>
      </c>
      <c r="G1977" s="8">
        <v>6000</v>
      </c>
      <c r="H1977" s="9">
        <f t="shared" si="159"/>
        <v>12000</v>
      </c>
      <c r="I1977" s="9">
        <v>289785</v>
      </c>
      <c r="J1977" s="9">
        <v>301785</v>
      </c>
      <c r="K1977" s="10">
        <v>301785</v>
      </c>
    </row>
    <row r="1978" spans="1:11" ht="15.75">
      <c r="A1978" s="5">
        <v>45944</v>
      </c>
      <c r="B1978" s="6" t="s">
        <v>12</v>
      </c>
      <c r="C1978" s="7">
        <v>13.99</v>
      </c>
      <c r="D1978" s="7">
        <v>10.9</v>
      </c>
      <c r="E1978" s="8">
        <v>2700</v>
      </c>
      <c r="F1978" s="6">
        <v>1600</v>
      </c>
      <c r="G1978" s="8">
        <v>4000</v>
      </c>
      <c r="H1978" s="9">
        <f t="shared" si="159"/>
        <v>8300</v>
      </c>
      <c r="I1978" s="9">
        <v>322088</v>
      </c>
      <c r="J1978" s="9">
        <v>330388</v>
      </c>
      <c r="K1978" s="10">
        <v>330388</v>
      </c>
    </row>
    <row r="1979" spans="1:11" ht="15.75">
      <c r="A1979" s="5">
        <v>45945</v>
      </c>
      <c r="B1979" s="6" t="s">
        <v>12</v>
      </c>
      <c r="C1979" s="7">
        <v>13.44</v>
      </c>
      <c r="D1979" s="7">
        <v>9.1</v>
      </c>
      <c r="E1979" s="8">
        <v>2700</v>
      </c>
      <c r="F1979" s="6">
        <v>1400</v>
      </c>
      <c r="G1979" s="8">
        <v>4000</v>
      </c>
      <c r="H1979" s="9">
        <f t="shared" si="159"/>
        <v>8100</v>
      </c>
      <c r="I1979" s="9">
        <v>308460</v>
      </c>
      <c r="J1979" s="9">
        <v>316560</v>
      </c>
      <c r="K1979" s="10">
        <v>315017</v>
      </c>
    </row>
    <row r="1980" spans="1:11" ht="15.75">
      <c r="A1980" s="5">
        <v>45946</v>
      </c>
      <c r="B1980" s="6" t="s">
        <v>12</v>
      </c>
      <c r="C1980" s="7">
        <v>13.75</v>
      </c>
      <c r="D1980" s="7">
        <v>10.1</v>
      </c>
      <c r="E1980" s="8">
        <v>2700</v>
      </c>
      <c r="F1980" s="6">
        <v>1400</v>
      </c>
      <c r="G1980" s="8">
        <v>5000</v>
      </c>
      <c r="H1980" s="9">
        <f t="shared" si="159"/>
        <v>9100</v>
      </c>
      <c r="I1980" s="9">
        <v>226804</v>
      </c>
      <c r="J1980" s="9">
        <v>235904</v>
      </c>
      <c r="K1980" s="10">
        <v>235904</v>
      </c>
    </row>
    <row r="1981" spans="1:11" ht="15.75">
      <c r="A1981" s="5">
        <v>45947</v>
      </c>
      <c r="B1981" s="6" t="s">
        <v>12</v>
      </c>
      <c r="C1981" s="7">
        <v>13.95</v>
      </c>
      <c r="D1981" s="7">
        <v>10.75</v>
      </c>
      <c r="E1981" s="8">
        <v>2700</v>
      </c>
      <c r="F1981" s="6">
        <v>1400</v>
      </c>
      <c r="G1981" s="6">
        <v>6000</v>
      </c>
      <c r="H1981" s="9">
        <f t="shared" si="159"/>
        <v>10100</v>
      </c>
      <c r="I1981" s="9">
        <v>211982</v>
      </c>
      <c r="J1981" s="9">
        <v>222082</v>
      </c>
      <c r="K1981" s="10">
        <v>222082</v>
      </c>
    </row>
    <row r="1982" spans="1:11" ht="15.75">
      <c r="A1982" s="5">
        <v>45948</v>
      </c>
      <c r="B1982" s="6" t="s">
        <v>12</v>
      </c>
      <c r="C1982" s="7">
        <v>13.47</v>
      </c>
      <c r="D1982" s="7">
        <v>9.1999999999999993</v>
      </c>
      <c r="E1982" s="8">
        <v>2700</v>
      </c>
      <c r="F1982" s="6">
        <v>1800</v>
      </c>
      <c r="G1982" s="6">
        <v>6000</v>
      </c>
      <c r="H1982" s="9">
        <f t="shared" si="159"/>
        <v>10500</v>
      </c>
      <c r="I1982" s="9">
        <v>195957</v>
      </c>
      <c r="J1982" s="9">
        <v>206457</v>
      </c>
      <c r="K1982" s="9">
        <v>205146</v>
      </c>
    </row>
    <row r="1983" spans="1:11" ht="15.75">
      <c r="A1983" s="5">
        <v>45949</v>
      </c>
      <c r="B1983" s="6" t="s">
        <v>12</v>
      </c>
      <c r="C1983" s="7">
        <v>13.99</v>
      </c>
      <c r="D1983" s="7">
        <v>10.9</v>
      </c>
      <c r="E1983" s="8">
        <v>2700</v>
      </c>
      <c r="F1983" s="6">
        <v>1800</v>
      </c>
      <c r="G1983" s="6">
        <v>6000</v>
      </c>
      <c r="H1983" s="9">
        <f t="shared" si="159"/>
        <v>10500</v>
      </c>
      <c r="I1983" s="9">
        <v>190698</v>
      </c>
      <c r="J1983" s="9">
        <v>201198</v>
      </c>
      <c r="K1983" s="10">
        <v>201198</v>
      </c>
    </row>
    <row r="1984" spans="1:11" ht="15.75">
      <c r="A1984" s="5">
        <v>45950</v>
      </c>
      <c r="B1984" s="6" t="s">
        <v>12</v>
      </c>
      <c r="C1984" s="7">
        <v>13.72</v>
      </c>
      <c r="D1984" s="7">
        <v>10</v>
      </c>
      <c r="E1984" s="8">
        <v>1600</v>
      </c>
      <c r="F1984" s="6">
        <v>1800</v>
      </c>
      <c r="G1984" s="8">
        <v>4000</v>
      </c>
      <c r="H1984" s="9">
        <f t="shared" si="159"/>
        <v>7400</v>
      </c>
      <c r="I1984" s="9">
        <v>153461</v>
      </c>
      <c r="J1984" s="9">
        <v>160861</v>
      </c>
      <c r="K1984" s="10">
        <v>160861</v>
      </c>
    </row>
    <row r="1985" spans="1:11" ht="15.75">
      <c r="A1985" s="5">
        <v>45951</v>
      </c>
      <c r="B1985" s="6" t="s">
        <v>12</v>
      </c>
      <c r="C1985" s="7">
        <v>13.38</v>
      </c>
      <c r="D1985" s="7">
        <v>8.9</v>
      </c>
      <c r="E1985" s="8">
        <v>1600</v>
      </c>
      <c r="F1985" s="8">
        <v>1700</v>
      </c>
      <c r="G1985" s="6">
        <v>4000</v>
      </c>
      <c r="H1985" s="9">
        <f t="shared" si="159"/>
        <v>7300</v>
      </c>
      <c r="I1985" s="9">
        <v>143012</v>
      </c>
      <c r="J1985" s="9">
        <v>150312</v>
      </c>
      <c r="K1985" s="9">
        <v>148306</v>
      </c>
    </row>
    <row r="1986" spans="1:11" ht="15.75">
      <c r="A1986" s="5">
        <v>45952</v>
      </c>
      <c r="B1986" s="6" t="s">
        <v>12</v>
      </c>
      <c r="C1986" s="7">
        <v>13.99</v>
      </c>
      <c r="D1986" s="7">
        <v>10.9</v>
      </c>
      <c r="E1986" s="8">
        <v>1600</v>
      </c>
      <c r="F1986" s="8">
        <v>1700</v>
      </c>
      <c r="G1986" s="6">
        <v>4000</v>
      </c>
      <c r="H1986" s="9">
        <f t="shared" si="159"/>
        <v>7300</v>
      </c>
      <c r="I1986" s="9">
        <v>44092</v>
      </c>
      <c r="J1986" s="9">
        <v>51392</v>
      </c>
      <c r="K1986" s="9">
        <v>51392</v>
      </c>
    </row>
    <row r="1987" spans="1:11" ht="15.75">
      <c r="A1987" s="5">
        <v>45953</v>
      </c>
      <c r="B1987" s="6" t="s">
        <v>12</v>
      </c>
      <c r="C1987" s="7">
        <v>13.93</v>
      </c>
      <c r="D1987" s="7">
        <v>10.7</v>
      </c>
      <c r="E1987" s="8">
        <v>600</v>
      </c>
      <c r="F1987" s="8">
        <v>1200</v>
      </c>
      <c r="G1987" s="8">
        <v>4000</v>
      </c>
      <c r="H1987" s="9">
        <f t="shared" si="159"/>
        <v>5800</v>
      </c>
      <c r="I1987" s="9">
        <v>82521</v>
      </c>
      <c r="J1987" s="9">
        <v>88321</v>
      </c>
      <c r="K1987" s="9">
        <v>88321</v>
      </c>
    </row>
    <row r="1988" spans="1:11" ht="15.75">
      <c r="A1988" s="5">
        <v>45954</v>
      </c>
      <c r="B1988" s="6" t="s">
        <v>12</v>
      </c>
      <c r="C1988" s="7">
        <v>13.99</v>
      </c>
      <c r="D1988" s="7">
        <v>10.9</v>
      </c>
      <c r="E1988" s="8">
        <v>600</v>
      </c>
      <c r="F1988" s="8">
        <v>900</v>
      </c>
      <c r="G1988" s="6">
        <v>3000</v>
      </c>
      <c r="H1988" s="9">
        <f t="shared" si="159"/>
        <v>4500</v>
      </c>
      <c r="I1988" s="9">
        <v>55380</v>
      </c>
      <c r="J1988" s="9">
        <v>59880</v>
      </c>
      <c r="K1988" s="9">
        <v>59880</v>
      </c>
    </row>
    <row r="1989" spans="1:11" ht="15.75">
      <c r="A1989" s="5">
        <v>45955</v>
      </c>
      <c r="B1989" s="6" t="s">
        <v>12</v>
      </c>
      <c r="C1989" s="7">
        <v>13.99</v>
      </c>
      <c r="D1989" s="7">
        <v>10.9</v>
      </c>
      <c r="E1989" s="8">
        <v>600</v>
      </c>
      <c r="F1989" s="8">
        <v>500</v>
      </c>
      <c r="G1989" s="6">
        <v>2000</v>
      </c>
      <c r="H1989" s="9">
        <f t="shared" si="159"/>
        <v>3100</v>
      </c>
      <c r="I1989" s="9">
        <v>68259</v>
      </c>
      <c r="J1989" s="9">
        <v>71359</v>
      </c>
      <c r="K1989" s="9">
        <v>71359</v>
      </c>
    </row>
    <row r="1990" spans="1:11" ht="15.75">
      <c r="A1990" s="5">
        <v>45956</v>
      </c>
      <c r="B1990" s="6" t="s">
        <v>12</v>
      </c>
      <c r="C1990" s="7">
        <v>13.99</v>
      </c>
      <c r="D1990" s="7">
        <v>10.9</v>
      </c>
      <c r="E1990" s="8">
        <v>0</v>
      </c>
      <c r="F1990" s="8">
        <v>0</v>
      </c>
      <c r="G1990" s="6">
        <v>0</v>
      </c>
      <c r="H1990" s="9">
        <f t="shared" si="159"/>
        <v>0</v>
      </c>
      <c r="I1990" s="9">
        <v>68259</v>
      </c>
      <c r="J1990" s="9">
        <v>68259</v>
      </c>
      <c r="K1990" s="9">
        <v>68259</v>
      </c>
    </row>
    <row r="1991" spans="1:11" ht="15.75">
      <c r="A1991" s="5">
        <v>45957</v>
      </c>
      <c r="B1991" s="6" t="s">
        <v>12</v>
      </c>
      <c r="C1991" s="7">
        <v>13.99</v>
      </c>
      <c r="D1991" s="7">
        <v>10.9</v>
      </c>
      <c r="E1991" s="8">
        <v>0</v>
      </c>
      <c r="F1991" s="8">
        <v>0</v>
      </c>
      <c r="G1991" s="6">
        <v>0</v>
      </c>
      <c r="H1991" s="9">
        <f t="shared" si="159"/>
        <v>0</v>
      </c>
      <c r="I1991" s="9">
        <v>55682</v>
      </c>
      <c r="J1991" s="9">
        <v>55682</v>
      </c>
      <c r="K1991" s="9">
        <v>55682</v>
      </c>
    </row>
    <row r="1992" spans="1:11" ht="15.75">
      <c r="A1992" s="5">
        <v>45958</v>
      </c>
      <c r="B1992" s="6" t="s">
        <v>12</v>
      </c>
      <c r="C1992" s="7">
        <v>13.99</v>
      </c>
      <c r="D1992" s="7">
        <v>10.9</v>
      </c>
      <c r="E1992" s="8">
        <v>0</v>
      </c>
      <c r="F1992" s="8">
        <v>0</v>
      </c>
      <c r="G1992" s="6">
        <v>0</v>
      </c>
      <c r="H1992" s="9">
        <f t="shared" si="159"/>
        <v>0</v>
      </c>
      <c r="I1992" s="9">
        <v>55862</v>
      </c>
      <c r="J1992" s="9">
        <v>55862</v>
      </c>
      <c r="K1992" s="9">
        <v>55862</v>
      </c>
    </row>
    <row r="1993" spans="1:11" ht="15.75">
      <c r="A1993" s="5">
        <v>45959</v>
      </c>
      <c r="B1993" s="6" t="s">
        <v>12</v>
      </c>
      <c r="C1993" s="7">
        <v>13.99</v>
      </c>
      <c r="D1993" s="7">
        <v>10.9</v>
      </c>
      <c r="E1993" s="8">
        <v>0</v>
      </c>
      <c r="F1993" s="8">
        <v>0</v>
      </c>
      <c r="G1993" s="6">
        <v>0</v>
      </c>
      <c r="H1993" s="9">
        <f t="shared" si="159"/>
        <v>0</v>
      </c>
      <c r="I1993" s="9">
        <v>68259</v>
      </c>
      <c r="J1993" s="9">
        <v>68259</v>
      </c>
      <c r="K1993" s="9">
        <v>68259</v>
      </c>
    </row>
    <row r="1994" spans="1:11" ht="15.75">
      <c r="A1994" s="5">
        <v>45960</v>
      </c>
      <c r="B1994" s="6" t="s">
        <v>12</v>
      </c>
      <c r="C1994" s="7">
        <v>13.99</v>
      </c>
      <c r="D1994" s="7">
        <v>10.9</v>
      </c>
      <c r="E1994" s="8">
        <v>0</v>
      </c>
      <c r="F1994" s="8">
        <v>0</v>
      </c>
      <c r="G1994" s="6">
        <v>0</v>
      </c>
      <c r="H1994" s="9">
        <f t="shared" si="159"/>
        <v>0</v>
      </c>
      <c r="I1994" s="9">
        <v>94122</v>
      </c>
      <c r="J1994" s="9">
        <v>94122</v>
      </c>
      <c r="K1994" s="9">
        <v>94122</v>
      </c>
    </row>
    <row r="1995" spans="1:11" ht="15.75">
      <c r="A1995" s="5">
        <v>45961</v>
      </c>
      <c r="B1995" s="6" t="s">
        <v>12</v>
      </c>
      <c r="C1995" s="7">
        <v>13.99</v>
      </c>
      <c r="D1995" s="7">
        <v>10.9</v>
      </c>
      <c r="E1995" s="8">
        <v>0</v>
      </c>
      <c r="F1995" s="8">
        <v>0</v>
      </c>
      <c r="G1995" s="6">
        <v>0</v>
      </c>
      <c r="H1995" s="9">
        <f t="shared" si="159"/>
        <v>0</v>
      </c>
      <c r="I1995" s="9">
        <v>114119</v>
      </c>
      <c r="J1995" s="9">
        <v>114119</v>
      </c>
      <c r="K1995" s="9">
        <v>114119</v>
      </c>
    </row>
    <row r="1996" spans="1:11" ht="15.75">
      <c r="A1996" s="2" t="s">
        <v>13</v>
      </c>
      <c r="B1996" s="2"/>
      <c r="C1996" s="2"/>
      <c r="D1996" s="2"/>
      <c r="E1996" s="11">
        <f t="shared" ref="E1996:K1996" si="160">SUM(E1965:E1995)</f>
        <v>79600</v>
      </c>
      <c r="F1996" s="11">
        <f t="shared" si="160"/>
        <v>45900</v>
      </c>
      <c r="G1996" s="11">
        <f t="shared" si="160"/>
        <v>134500</v>
      </c>
      <c r="H1996" s="11">
        <f t="shared" si="160"/>
        <v>260000</v>
      </c>
      <c r="I1996" s="11">
        <f t="shared" si="160"/>
        <v>9816880</v>
      </c>
      <c r="J1996" s="11">
        <f t="shared" si="160"/>
        <v>10079880</v>
      </c>
      <c r="K1996" s="11">
        <f t="shared" si="160"/>
        <v>10067167</v>
      </c>
    </row>
    <row r="1997" spans="1:11" ht="15.75">
      <c r="A1997" s="12"/>
      <c r="B1997" s="2"/>
      <c r="C1997" s="2"/>
      <c r="D1997" s="2"/>
      <c r="E1997" s="13">
        <f t="shared" ref="E1997:K1997" si="161">SUM(E1996/11575)</f>
        <v>6.8768898488120946</v>
      </c>
      <c r="F1997" s="13">
        <f t="shared" si="161"/>
        <v>3.9654427645788335</v>
      </c>
      <c r="G1997" s="13">
        <f t="shared" si="161"/>
        <v>11.61987041036717</v>
      </c>
      <c r="H1997" s="13">
        <f t="shared" si="161"/>
        <v>22.4622030237581</v>
      </c>
      <c r="I1997" s="13">
        <f t="shared" si="161"/>
        <v>848.11058315334776</v>
      </c>
      <c r="J1997" s="13">
        <f t="shared" si="161"/>
        <v>870.83196544276461</v>
      </c>
      <c r="K1997" s="13">
        <f t="shared" si="161"/>
        <v>869.73365010799137</v>
      </c>
    </row>
  </sheetData>
  <mergeCells count="58">
    <mergeCell ref="A1859:K1859"/>
    <mergeCell ref="A1894:K1894"/>
    <mergeCell ref="A1929:K1929"/>
    <mergeCell ref="A1963:K1963"/>
    <mergeCell ref="A1654:K1654"/>
    <mergeCell ref="A1689:K1689"/>
    <mergeCell ref="A1721:K1721"/>
    <mergeCell ref="A1756:K1756"/>
    <mergeCell ref="A1790:K1790"/>
    <mergeCell ref="A1825:K1825"/>
    <mergeCell ref="A1446:K1446"/>
    <mergeCell ref="A1481:K1481"/>
    <mergeCell ref="A1516:K1516"/>
    <mergeCell ref="A1550:K1550"/>
    <mergeCell ref="A1585:K1585"/>
    <mergeCell ref="A1619:K1619"/>
    <mergeCell ref="A1240:K1240"/>
    <mergeCell ref="A1275:K1275"/>
    <mergeCell ref="A1308:K1308"/>
    <mergeCell ref="A1343:K1343"/>
    <mergeCell ref="A1377:K1377"/>
    <mergeCell ref="A1412:K1412"/>
    <mergeCell ref="A1032:K1032"/>
    <mergeCell ref="A1067:K1067"/>
    <mergeCell ref="A1102:K1102"/>
    <mergeCell ref="A1136:K1136"/>
    <mergeCell ref="A1171:K1171"/>
    <mergeCell ref="A1205:K1205"/>
    <mergeCell ref="A827:K827"/>
    <mergeCell ref="A862:K862"/>
    <mergeCell ref="A894:K894"/>
    <mergeCell ref="A929:K929"/>
    <mergeCell ref="A963:K963"/>
    <mergeCell ref="A998:K998"/>
    <mergeCell ref="A619:K619"/>
    <mergeCell ref="A654:K654"/>
    <mergeCell ref="A689:K689"/>
    <mergeCell ref="A723:K723"/>
    <mergeCell ref="A758:K758"/>
    <mergeCell ref="A792:K792"/>
    <mergeCell ref="A414:K414"/>
    <mergeCell ref="A449:K449"/>
    <mergeCell ref="A481:K481"/>
    <mergeCell ref="A516:K516"/>
    <mergeCell ref="A550:K550"/>
    <mergeCell ref="A585:K585"/>
    <mergeCell ref="A206:K206"/>
    <mergeCell ref="A241:K241"/>
    <mergeCell ref="A276:K276"/>
    <mergeCell ref="A310:K310"/>
    <mergeCell ref="A345:K345"/>
    <mergeCell ref="A379:K379"/>
    <mergeCell ref="A1:K1"/>
    <mergeCell ref="A36:K36"/>
    <mergeCell ref="A68:K68"/>
    <mergeCell ref="A103:K103"/>
    <mergeCell ref="A137:K137"/>
    <mergeCell ref="A172:K172"/>
  </mergeCells>
  <pageMargins left="0.7" right="0.7" top="0.75" bottom="0.75" header="0.3" footer="0.3"/>
  <pageSetup scale="78" orientation="portrait" r:id="rId1"/>
  <rowBreaks count="57" manualBreakCount="57">
    <brk id="35" max="16383" man="1"/>
    <brk id="67" max="16383" man="1"/>
    <brk id="102" max="16383" man="1"/>
    <brk id="136" max="16383" man="1"/>
    <brk id="171" max="16383" man="1"/>
    <brk id="205" max="16383" man="1"/>
    <brk id="240" max="16383" man="1"/>
    <brk id="275" max="16383" man="1"/>
    <brk id="309" max="16383" man="1"/>
    <brk id="344" max="16383" man="1"/>
    <brk id="378" max="16383" man="1"/>
    <brk id="413" max="16383" man="1"/>
    <brk id="448" max="16383" man="1"/>
    <brk id="480" max="16383" man="1"/>
    <brk id="515" max="16383" man="1"/>
    <brk id="549" max="16383" man="1"/>
    <brk id="584" max="16383" man="1"/>
    <brk id="618" max="16383" man="1"/>
    <brk id="653" max="16383" man="1"/>
    <brk id="688" max="16383" man="1"/>
    <brk id="722" max="16383" man="1"/>
    <brk id="757" max="16383" man="1"/>
    <brk id="791" max="16383" man="1"/>
    <brk id="826" max="16383" man="1"/>
    <brk id="861" max="16383" man="1"/>
    <brk id="893" max="16383" man="1"/>
    <brk id="928" max="16383" man="1"/>
    <brk id="962" max="16383" man="1"/>
    <brk id="997" max="16383" man="1"/>
    <brk id="1031" max="16383" man="1"/>
    <brk id="1066" max="16383" man="1"/>
    <brk id="1101" max="16383" man="1"/>
    <brk id="1135" max="16383" man="1"/>
    <brk id="1170" max="16383" man="1"/>
    <brk id="1204" max="16383" man="1"/>
    <brk id="1239" max="16383" man="1"/>
    <brk id="1274" max="16383" man="1"/>
    <brk id="1307" max="16383" man="1"/>
    <brk id="1342" max="16383" man="1"/>
    <brk id="1376" max="16383" man="1"/>
    <brk id="1411" max="16383" man="1"/>
    <brk id="1445" max="16383" man="1"/>
    <brk id="1480" max="16383" man="1"/>
    <brk id="1515" max="16383" man="1"/>
    <brk id="1549" max="16383" man="1"/>
    <brk id="1584" max="16383" man="1"/>
    <brk id="1618" max="16383" man="1"/>
    <brk id="1653" max="16383" man="1"/>
    <brk id="1688" max="16383" man="1"/>
    <brk id="1720" max="16383" man="1"/>
    <brk id="1755" max="16383" man="1"/>
    <brk id="1789" max="16383" man="1"/>
    <brk id="1824" max="16383" man="1"/>
    <brk id="1858" max="16383" man="1"/>
    <brk id="1893" max="16383" man="1"/>
    <brk id="1928" max="16383" man="1"/>
    <brk id="196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2025-11-11T02:48:26Z</dcterms:modified>
</cp:coreProperties>
</file>